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Wholesale vs My Website" sheetId="2" state="visible" r:id="rId4"/>
    <sheet name="Wholesale vs Filter King" sheetId="3" state="visible" r:id="rId5"/>
  </sheets>
  <definedNames>
    <definedName function="false" hidden="true" localSheetId="2" name="_xlnm._FilterDatabase" vbProcedure="false">'Wholesale vs Filter King'!$A$4:$L$303</definedName>
    <definedName function="false" hidden="true" localSheetId="1" name="_xlnm._FilterDatabase" vbProcedure="false">'Wholesale vs My Website'!$A$4:$S$303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<sst xmlns="http://schemas.openxmlformats.org/spreadsheetml/2006/main" count="2436" uniqueCount="413">
  <si>
    <t xml:space="preserve">Filter Hero -- Wholesale vs. Retail Pricing</t>
  </si>
  <si>
    <t xml:space="preserve">Built from: docs/FILTER-KING-PRICING-BRIEF.md, Part 3 (full match table, 299 rows).</t>
  </si>
  <si>
    <t xml:space="preserve">Wholesale cost source: Paul Sellaro's 2025 Filter King LLC dealer cost sheet (Filter King LLC, 7301 NW 36th Ct, Miami FL 33147; paul@filterking.com; 305-300-2431).</t>
  </si>
  <si>
    <t xml:space="preserve">Filter King website prices: live scrape of filterking.com, dated 2026-08-20 (shared/pricing/fk-live-prices.json).</t>
  </si>
  <si>
    <t xml:space="preserve">Filter Hero (my website) prices: Filter King website unit price x 0.90 when the FK ladder was live-scraped, or x 0.88 when it was modeled/estimated -- per shared/pricing/engine.ts.</t>
  </si>
  <si>
    <t xml:space="preserve">Tab 'Wholesale vs My Website': what I pay Filter King per filter, next to what I charge on my own website at each pack size (1/2/4/6/12), with my dollar and percent margin at each pack size.</t>
  </si>
  <si>
    <t xml:space="preserve">Tab 'Wholesale vs Filter King': what I pay Filter King per filter, next to what Filter King itself charges the public on its own website at each pack size, plus Filter King's implied retail markup over my wholesale cost.</t>
  </si>
  <si>
    <t xml:space="preserve">Coverage: 299 unique size x MERV combinations -- every line on the wholesale sheet that could be matched to a Filter King retail ladder (all of them matched; 0 unmatched).</t>
  </si>
  <si>
    <t xml:space="preserve">Caveat: the wholesale sheet is dated 2025. If Filter King has raised dealer cost since then, real margins today are lower than shown here, especially on 6- and 12-packs where margin is already thinnest.</t>
  </si>
  <si>
    <t xml:space="preserve">Filter King Wholesale Cost vs Filter Hero (my website) sell price</t>
  </si>
  <si>
    <t xml:space="preserve">Wholesale = Paul Sellaro's 2025 dealer cost sheet, Filter King LLC. Hero = my website's live sell price by pack size (Hero sell = Filter King public unit price x 0.90, or x0.88 if that ladder was modeled). Margin $ = Hero price minus wholesale cost. Margin % = Margin $ / Hero price. Source: docs/FILTER-KING-PRICING-BRIEF.md, Part 3 full match table.</t>
  </si>
  <si>
    <t xml:space="preserve">Size</t>
  </si>
  <si>
    <t xml:space="preserve">MERV</t>
  </si>
  <si>
    <t xml:space="preserve">Wholesale SKU</t>
  </si>
  <si>
    <t xml:space="preserve">Wholesale Cost</t>
  </si>
  <si>
    <t xml:space="preserve">Hero 1-pack</t>
  </si>
  <si>
    <t xml:space="preserve">Margin $</t>
  </si>
  <si>
    <t xml:space="preserve">Margin %</t>
  </si>
  <si>
    <t xml:space="preserve">Hero 2-pack</t>
  </si>
  <si>
    <t xml:space="preserve">Hero 4-pack</t>
  </si>
  <si>
    <t xml:space="preserve">Hero 6-pack</t>
  </si>
  <si>
    <t xml:space="preserve">Hero 12-pack</t>
  </si>
  <si>
    <t xml:space="preserve">12x15x0.5</t>
  </si>
  <si>
    <t xml:space="preserve">11</t>
  </si>
  <si>
    <t xml:space="preserve">FK12x15x0.5</t>
  </si>
  <si>
    <t xml:space="preserve">13</t>
  </si>
  <si>
    <t xml:space="preserve">12x36x0.5</t>
  </si>
  <si>
    <t xml:space="preserve">8</t>
  </si>
  <si>
    <t xml:space="preserve">FK12x36x0.5</t>
  </si>
  <si>
    <t xml:space="preserve">24x30x0.5</t>
  </si>
  <si>
    <t xml:space="preserve">FK24x30x0.5</t>
  </si>
  <si>
    <t xml:space="preserve">10x10x1</t>
  </si>
  <si>
    <t xml:space="preserve">FK10x10x1</t>
  </si>
  <si>
    <t xml:space="preserve">10x30x1</t>
  </si>
  <si>
    <t xml:space="preserve">FK10x30x1N</t>
  </si>
  <si>
    <t xml:space="preserve">10x36x1</t>
  </si>
  <si>
    <t xml:space="preserve">FK10x36x1</t>
  </si>
  <si>
    <t xml:space="preserve">12.5x24.25x1</t>
  </si>
  <si>
    <t xml:space="preserve">FK12.5x24.25x1A</t>
  </si>
  <si>
    <t xml:space="preserve">12x12x1</t>
  </si>
  <si>
    <t xml:space="preserve">FK12x12x1</t>
  </si>
  <si>
    <t xml:space="preserve">12x18x1</t>
  </si>
  <si>
    <t xml:space="preserve">FK12x18x1A</t>
  </si>
  <si>
    <t xml:space="preserve">12x20x1</t>
  </si>
  <si>
    <t xml:space="preserve">FK12x20x1</t>
  </si>
  <si>
    <t xml:space="preserve">12x24x1</t>
  </si>
  <si>
    <t xml:space="preserve">FK12x24x1</t>
  </si>
  <si>
    <t xml:space="preserve">12x36x1</t>
  </si>
  <si>
    <t xml:space="preserve">FK12x36x1</t>
  </si>
  <si>
    <t xml:space="preserve">13x13x1</t>
  </si>
  <si>
    <t xml:space="preserve">FK13x13x1</t>
  </si>
  <si>
    <t xml:space="preserve">13x21.5x1</t>
  </si>
  <si>
    <t xml:space="preserve">FK13x21.5x1A</t>
  </si>
  <si>
    <t xml:space="preserve">13x21x1</t>
  </si>
  <si>
    <t xml:space="preserve">FK13x21x1A</t>
  </si>
  <si>
    <t xml:space="preserve">14x14x1</t>
  </si>
  <si>
    <t xml:space="preserve">FK14x14x1</t>
  </si>
  <si>
    <t xml:space="preserve">14x18x1</t>
  </si>
  <si>
    <t xml:space="preserve">FK14x18x1</t>
  </si>
  <si>
    <t xml:space="preserve">14x20x1</t>
  </si>
  <si>
    <t xml:space="preserve">FK14x20x1</t>
  </si>
  <si>
    <t xml:space="preserve">14x22x1</t>
  </si>
  <si>
    <t xml:space="preserve">FK14x22x1</t>
  </si>
  <si>
    <t xml:space="preserve">14x24x1</t>
  </si>
  <si>
    <t xml:space="preserve">FK14x24x1</t>
  </si>
  <si>
    <t xml:space="preserve">14x25x1</t>
  </si>
  <si>
    <t xml:space="preserve">FK14x25x1</t>
  </si>
  <si>
    <t xml:space="preserve">14x30x1</t>
  </si>
  <si>
    <t xml:space="preserve">FK14x30x1</t>
  </si>
  <si>
    <t xml:space="preserve">15x15x1</t>
  </si>
  <si>
    <t xml:space="preserve">FK15x15x1A</t>
  </si>
  <si>
    <t xml:space="preserve">15x20x1</t>
  </si>
  <si>
    <t xml:space="preserve">FK15x20x1</t>
  </si>
  <si>
    <t xml:space="preserve">15x24x1</t>
  </si>
  <si>
    <t xml:space="preserve">FK15x24x1</t>
  </si>
  <si>
    <t xml:space="preserve">16x16x1</t>
  </si>
  <si>
    <t xml:space="preserve">FK16x16x1</t>
  </si>
  <si>
    <t xml:space="preserve">16x19x1</t>
  </si>
  <si>
    <t xml:space="preserve">FK16x19x1</t>
  </si>
  <si>
    <t xml:space="preserve">16x20x1</t>
  </si>
  <si>
    <t xml:space="preserve">FK16x20x1</t>
  </si>
  <si>
    <t xml:space="preserve">16x21x1</t>
  </si>
  <si>
    <t xml:space="preserve">FK16x21x1A</t>
  </si>
  <si>
    <t xml:space="preserve">16x22x1</t>
  </si>
  <si>
    <t xml:space="preserve">FK16x22x1A</t>
  </si>
  <si>
    <t xml:space="preserve">16x24x1</t>
  </si>
  <si>
    <t xml:space="preserve">FK16x24x1</t>
  </si>
  <si>
    <t xml:space="preserve">16x25x1</t>
  </si>
  <si>
    <t xml:space="preserve">FK16x25x1</t>
  </si>
  <si>
    <t xml:space="preserve">16x30x1</t>
  </si>
  <si>
    <t xml:space="preserve">FK16x30x1</t>
  </si>
  <si>
    <t xml:space="preserve">17.5x21x1</t>
  </si>
  <si>
    <t xml:space="preserve">FK17.5x21x1A</t>
  </si>
  <si>
    <t xml:space="preserve">17.5x22x1</t>
  </si>
  <si>
    <t xml:space="preserve">FK17.5x22x1A</t>
  </si>
  <si>
    <t xml:space="preserve">17x17x1</t>
  </si>
  <si>
    <t xml:space="preserve">FK17x17x1A</t>
  </si>
  <si>
    <t xml:space="preserve">17x20x1</t>
  </si>
  <si>
    <t xml:space="preserve">FK17x20x1</t>
  </si>
  <si>
    <t xml:space="preserve">17x21x1</t>
  </si>
  <si>
    <t xml:space="preserve">FK17x21x1A</t>
  </si>
  <si>
    <t xml:space="preserve">17x22x1</t>
  </si>
  <si>
    <t xml:space="preserve">FK17x22x1</t>
  </si>
  <si>
    <t xml:space="preserve">18x18x1</t>
  </si>
  <si>
    <t xml:space="preserve">FK18x18x1</t>
  </si>
  <si>
    <t xml:space="preserve">18x20x1</t>
  </si>
  <si>
    <t xml:space="preserve">FK18x20x1</t>
  </si>
  <si>
    <t xml:space="preserve">18x22x1</t>
  </si>
  <si>
    <t xml:space="preserve">FK18x22x1</t>
  </si>
  <si>
    <t xml:space="preserve">18x24x1</t>
  </si>
  <si>
    <t xml:space="preserve">FK18x24x1</t>
  </si>
  <si>
    <t xml:space="preserve">18x25x1</t>
  </si>
  <si>
    <t xml:space="preserve">FK18x25x1</t>
  </si>
  <si>
    <t xml:space="preserve">18x30x1</t>
  </si>
  <si>
    <t xml:space="preserve">FK18x30x1</t>
  </si>
  <si>
    <t xml:space="preserve">18x36x1</t>
  </si>
  <si>
    <t xml:space="preserve">FK18x36x1</t>
  </si>
  <si>
    <t xml:space="preserve">19.25x23.25x1</t>
  </si>
  <si>
    <t xml:space="preserve">FK19.25x23.25x1A</t>
  </si>
  <si>
    <t xml:space="preserve">19.5x21x1</t>
  </si>
  <si>
    <t xml:space="preserve">FK19.5x21x1A</t>
  </si>
  <si>
    <t xml:space="preserve">19.75x21.5x1</t>
  </si>
  <si>
    <t xml:space="preserve">FK19.75x21.5x1A</t>
  </si>
  <si>
    <t xml:space="preserve">19.88x21.5x1</t>
  </si>
  <si>
    <t xml:space="preserve">FK19.88x21.5x1A</t>
  </si>
  <si>
    <t xml:space="preserve">19x19x1</t>
  </si>
  <si>
    <t xml:space="preserve">FK19x19x1A</t>
  </si>
  <si>
    <t xml:space="preserve">19x20x1</t>
  </si>
  <si>
    <t xml:space="preserve">FK19x20x1A</t>
  </si>
  <si>
    <t xml:space="preserve">19x21x1</t>
  </si>
  <si>
    <t xml:space="preserve">FK19x21x1</t>
  </si>
  <si>
    <t xml:space="preserve">19x22x1</t>
  </si>
  <si>
    <t xml:space="preserve">FK19x22x1A</t>
  </si>
  <si>
    <t xml:space="preserve">19x23x1</t>
  </si>
  <si>
    <t xml:space="preserve">FK19x23x1A</t>
  </si>
  <si>
    <t xml:space="preserve">19x25x1</t>
  </si>
  <si>
    <t xml:space="preserve">FK19x25x1</t>
  </si>
  <si>
    <t xml:space="preserve">19x26x1</t>
  </si>
  <si>
    <t xml:space="preserve">FK19x26x1</t>
  </si>
  <si>
    <t xml:space="preserve">19x27x1</t>
  </si>
  <si>
    <t xml:space="preserve">FK19x27x1A</t>
  </si>
  <si>
    <t xml:space="preserve">20x20x1</t>
  </si>
  <si>
    <t xml:space="preserve">FK20x20x1</t>
  </si>
  <si>
    <t xml:space="preserve">20x21x1</t>
  </si>
  <si>
    <t xml:space="preserve">FK20x21x1A</t>
  </si>
  <si>
    <t xml:space="preserve">20x22x1</t>
  </si>
  <si>
    <t xml:space="preserve">FK20x22x1</t>
  </si>
  <si>
    <t xml:space="preserve">20x23x1</t>
  </si>
  <si>
    <t xml:space="preserve">FK20x23x1</t>
  </si>
  <si>
    <t xml:space="preserve">FK20x23x1A</t>
  </si>
  <si>
    <t xml:space="preserve">20x24x1</t>
  </si>
  <si>
    <t xml:space="preserve">FK20x24x1</t>
  </si>
  <si>
    <t xml:space="preserve">20x25x1</t>
  </si>
  <si>
    <t xml:space="preserve">FK20x25x1</t>
  </si>
  <si>
    <t xml:space="preserve">20x26x1</t>
  </si>
  <si>
    <t xml:space="preserve">FK20x26x1A</t>
  </si>
  <si>
    <t xml:space="preserve">20x30x1</t>
  </si>
  <si>
    <t xml:space="preserve">FK20x30x1</t>
  </si>
  <si>
    <t xml:space="preserve">20x36x1</t>
  </si>
  <si>
    <t xml:space="preserve">FK20x36x1</t>
  </si>
  <si>
    <t xml:space="preserve">20x40x1</t>
  </si>
  <si>
    <t xml:space="preserve">FK20x40x1</t>
  </si>
  <si>
    <t xml:space="preserve">21.5x23.25x1</t>
  </si>
  <si>
    <t xml:space="preserve">FK21.5x23.25x1A</t>
  </si>
  <si>
    <t xml:space="preserve">21x21x1</t>
  </si>
  <si>
    <t xml:space="preserve">FK21x21x1</t>
  </si>
  <si>
    <t xml:space="preserve">FK21x21x1A</t>
  </si>
  <si>
    <t xml:space="preserve">21x23x1</t>
  </si>
  <si>
    <t xml:space="preserve">FK21x23x1A</t>
  </si>
  <si>
    <t xml:space="preserve">21x24x1</t>
  </si>
  <si>
    <t xml:space="preserve">FK21x24x1A</t>
  </si>
  <si>
    <t xml:space="preserve">22x22x1</t>
  </si>
  <si>
    <t xml:space="preserve">FK22x22x1</t>
  </si>
  <si>
    <t xml:space="preserve">22x24x1</t>
  </si>
  <si>
    <t xml:space="preserve">FK22x24x1</t>
  </si>
  <si>
    <t xml:space="preserve">23x23x1</t>
  </si>
  <si>
    <t xml:space="preserve">FK23x23x1A</t>
  </si>
  <si>
    <t xml:space="preserve">24x24x1</t>
  </si>
  <si>
    <t xml:space="preserve">FK24x24x1</t>
  </si>
  <si>
    <t xml:space="preserve">24x30x1</t>
  </si>
  <si>
    <t xml:space="preserve">FK24x30x1</t>
  </si>
  <si>
    <t xml:space="preserve">24x36x1</t>
  </si>
  <si>
    <t xml:space="preserve">FK24x36x1</t>
  </si>
  <si>
    <t xml:space="preserve">25x25x1</t>
  </si>
  <si>
    <t xml:space="preserve">FK25x25x1</t>
  </si>
  <si>
    <t xml:space="preserve">25x30x1</t>
  </si>
  <si>
    <t xml:space="preserve">FK25x30x1</t>
  </si>
  <si>
    <t xml:space="preserve">25x32x1</t>
  </si>
  <si>
    <t xml:space="preserve">FK25x32x1</t>
  </si>
  <si>
    <t xml:space="preserve">30x30x1</t>
  </si>
  <si>
    <t xml:space="preserve">FK30x30x1</t>
  </si>
  <si>
    <t xml:space="preserve">4.5x11.5x1</t>
  </si>
  <si>
    <t xml:space="preserve">FK4.5x11.5x1A</t>
  </si>
  <si>
    <t xml:space="preserve">4.5x11x1</t>
  </si>
  <si>
    <t xml:space="preserve">FK4.5x11x1A</t>
  </si>
  <si>
    <t xml:space="preserve">4.5x12x1</t>
  </si>
  <si>
    <t xml:space="preserve">FK4.5x12x1A</t>
  </si>
  <si>
    <t xml:space="preserve">4.5x13.5x1</t>
  </si>
  <si>
    <t xml:space="preserve">FK4.5x13.5x1A</t>
  </si>
  <si>
    <t xml:space="preserve">4.5x18x1</t>
  </si>
  <si>
    <t xml:space="preserve">FK4.5x18x1A</t>
  </si>
  <si>
    <t xml:space="preserve">4.5x19.5x1</t>
  </si>
  <si>
    <t xml:space="preserve">FK4.5x19.5x1A</t>
  </si>
  <si>
    <t xml:space="preserve">4.5x6x1</t>
  </si>
  <si>
    <t xml:space="preserve">FK4.5x6x1A</t>
  </si>
  <si>
    <t xml:space="preserve">4.5x8x1</t>
  </si>
  <si>
    <t xml:space="preserve">FK4.5x8x1A</t>
  </si>
  <si>
    <t xml:space="preserve">4.5x9.5x1</t>
  </si>
  <si>
    <t xml:space="preserve">FK4.5x9.5x1A</t>
  </si>
  <si>
    <t xml:space="preserve">4.5x9x1</t>
  </si>
  <si>
    <t xml:space="preserve">FK4.5x9x1A</t>
  </si>
  <si>
    <t xml:space="preserve">4x11.5x1</t>
  </si>
  <si>
    <t xml:space="preserve">FK4x11.5x1A</t>
  </si>
  <si>
    <t xml:space="preserve">4x11x1</t>
  </si>
  <si>
    <t xml:space="preserve">FK4x11x1A</t>
  </si>
  <si>
    <t xml:space="preserve">4x12x1</t>
  </si>
  <si>
    <t xml:space="preserve">FK4x12x1A</t>
  </si>
  <si>
    <t xml:space="preserve">4x13.5x1</t>
  </si>
  <si>
    <t xml:space="preserve">FK4x13.5x1A</t>
  </si>
  <si>
    <t xml:space="preserve">4x18x1</t>
  </si>
  <si>
    <t xml:space="preserve">FK4x18x1A</t>
  </si>
  <si>
    <t xml:space="preserve">4x19.5x1</t>
  </si>
  <si>
    <t xml:space="preserve">FK4x19.5x1A</t>
  </si>
  <si>
    <t xml:space="preserve">4x24x1</t>
  </si>
  <si>
    <t xml:space="preserve">FK4x24x1A</t>
  </si>
  <si>
    <t xml:space="preserve">4x6x1</t>
  </si>
  <si>
    <t xml:space="preserve">FK4x6x1A</t>
  </si>
  <si>
    <t xml:space="preserve">4x8x1</t>
  </si>
  <si>
    <t xml:space="preserve">FK4x8x1A</t>
  </si>
  <si>
    <t xml:space="preserve">4x9.5x1</t>
  </si>
  <si>
    <t xml:space="preserve">FK4x9.5x1A</t>
  </si>
  <si>
    <t xml:space="preserve">4x9x1</t>
  </si>
  <si>
    <t xml:space="preserve">FK4x9x1A</t>
  </si>
  <si>
    <t xml:space="preserve">5.5x12x1</t>
  </si>
  <si>
    <t xml:space="preserve">FK5.5x12x1A</t>
  </si>
  <si>
    <t xml:space="preserve">5.5x13.5x1</t>
  </si>
  <si>
    <t xml:space="preserve">FK5.5x13.5x1A</t>
  </si>
  <si>
    <t xml:space="preserve">5.5x18x1</t>
  </si>
  <si>
    <t xml:space="preserve">FK5.5x18x1A</t>
  </si>
  <si>
    <t xml:space="preserve">5.5x19.5x1</t>
  </si>
  <si>
    <t xml:space="preserve">FK5.5x19.5x1A</t>
  </si>
  <si>
    <t xml:space="preserve">5.5x6x1</t>
  </si>
  <si>
    <t xml:space="preserve">FK5.5x6x1A</t>
  </si>
  <si>
    <t xml:space="preserve">5.5x8x1</t>
  </si>
  <si>
    <t xml:space="preserve">FK5.5x8x1A</t>
  </si>
  <si>
    <t xml:space="preserve">5x11.5x1</t>
  </si>
  <si>
    <t xml:space="preserve">FK5x11.5x1A</t>
  </si>
  <si>
    <t xml:space="preserve">5x12x1</t>
  </si>
  <si>
    <t xml:space="preserve">FK5x12x1A</t>
  </si>
  <si>
    <t xml:space="preserve">5x13.5x1</t>
  </si>
  <si>
    <t xml:space="preserve">FK5x13.5x1A</t>
  </si>
  <si>
    <t xml:space="preserve">5x18x1</t>
  </si>
  <si>
    <t xml:space="preserve">FK5x18x1A</t>
  </si>
  <si>
    <t xml:space="preserve">5x19.5x1</t>
  </si>
  <si>
    <t xml:space="preserve">FK5x19.5x1A</t>
  </si>
  <si>
    <t xml:space="preserve">5x6x1</t>
  </si>
  <si>
    <t xml:space="preserve">FK5x6x1A</t>
  </si>
  <si>
    <t xml:space="preserve">5x8x1</t>
  </si>
  <si>
    <t xml:space="preserve">FK5x8x1A</t>
  </si>
  <si>
    <t xml:space="preserve">6.5x13.5x1</t>
  </si>
  <si>
    <t xml:space="preserve">FK6.5x13.5x1A</t>
  </si>
  <si>
    <t xml:space="preserve">6.5x8x1</t>
  </si>
  <si>
    <t xml:space="preserve">FK6.5x8x1A</t>
  </si>
  <si>
    <t xml:space="preserve">6x12x1</t>
  </si>
  <si>
    <t xml:space="preserve">FK6x12x1</t>
  </si>
  <si>
    <t xml:space="preserve">6x13.5x1</t>
  </si>
  <si>
    <t xml:space="preserve">FK6x13.5x1A</t>
  </si>
  <si>
    <t xml:space="preserve">6x14x1</t>
  </si>
  <si>
    <t xml:space="preserve">FK6x14x1</t>
  </si>
  <si>
    <t xml:space="preserve">6x18x1</t>
  </si>
  <si>
    <t xml:space="preserve">FK6x18x1A</t>
  </si>
  <si>
    <t xml:space="preserve">6x6.5x1</t>
  </si>
  <si>
    <t xml:space="preserve">FK6x6.5x1A</t>
  </si>
  <si>
    <t xml:space="preserve">6x6x1</t>
  </si>
  <si>
    <t xml:space="preserve">FK6x6x1A</t>
  </si>
  <si>
    <t xml:space="preserve">6x7x1</t>
  </si>
  <si>
    <t xml:space="preserve">FK6x7x1A</t>
  </si>
  <si>
    <t xml:space="preserve">6x8x1</t>
  </si>
  <si>
    <t xml:space="preserve">FK6x8x1A</t>
  </si>
  <si>
    <t xml:space="preserve">7.5x8x1</t>
  </si>
  <si>
    <t xml:space="preserve">FK7.5x8x1A</t>
  </si>
  <si>
    <t xml:space="preserve">7x8x1</t>
  </si>
  <si>
    <t xml:space="preserve">FK7x8x1A</t>
  </si>
  <si>
    <t xml:space="preserve">8x10.5x1</t>
  </si>
  <si>
    <t xml:space="preserve">FK8x10.5x1A</t>
  </si>
  <si>
    <t xml:space="preserve">8x10x1</t>
  </si>
  <si>
    <t xml:space="preserve">FK8x10x1A</t>
  </si>
  <si>
    <t xml:space="preserve">8x11.5x1</t>
  </si>
  <si>
    <t xml:space="preserve">FK8x11.5x1A</t>
  </si>
  <si>
    <t xml:space="preserve">8x11x1</t>
  </si>
  <si>
    <t xml:space="preserve">FK8x11x1A</t>
  </si>
  <si>
    <t xml:space="preserve">8x12x1</t>
  </si>
  <si>
    <t xml:space="preserve">FK8x12x1A</t>
  </si>
  <si>
    <t xml:space="preserve">8x14x1</t>
  </si>
  <si>
    <t xml:space="preserve">FK8x14x1A</t>
  </si>
  <si>
    <t xml:space="preserve">8x24x1</t>
  </si>
  <si>
    <t xml:space="preserve">FK8x24x1A</t>
  </si>
  <si>
    <t xml:space="preserve">8x30x1</t>
  </si>
  <si>
    <t xml:space="preserve">FK8x30x1</t>
  </si>
  <si>
    <t xml:space="preserve">8x7.5x1</t>
  </si>
  <si>
    <t xml:space="preserve">FK8x7.5x1A</t>
  </si>
  <si>
    <t xml:space="preserve">8x7x1</t>
  </si>
  <si>
    <t xml:space="preserve">FK8x7x1A</t>
  </si>
  <si>
    <t xml:space="preserve">8x8.5x1</t>
  </si>
  <si>
    <t xml:space="preserve">FK8x8.5x1A</t>
  </si>
  <si>
    <t xml:space="preserve">8x8x1</t>
  </si>
  <si>
    <t xml:space="preserve">FK8x8x1A</t>
  </si>
  <si>
    <t xml:space="preserve">8x9.5x1</t>
  </si>
  <si>
    <t xml:space="preserve">FK8x9.5x1A</t>
  </si>
  <si>
    <t xml:space="preserve">8x9x1</t>
  </si>
  <si>
    <t xml:space="preserve">FK8x9x1A</t>
  </si>
  <si>
    <t xml:space="preserve">9x11.38x1</t>
  </si>
  <si>
    <t xml:space="preserve">FK9x11.38x1A</t>
  </si>
  <si>
    <t xml:space="preserve">9x11x1</t>
  </si>
  <si>
    <t xml:space="preserve">FK9x11x1A</t>
  </si>
  <si>
    <t xml:space="preserve">10x10x2</t>
  </si>
  <si>
    <t xml:space="preserve">FK10x10x2</t>
  </si>
  <si>
    <t xml:space="preserve">10x25x2</t>
  </si>
  <si>
    <t xml:space="preserve">FK10x25x2</t>
  </si>
  <si>
    <t xml:space="preserve">12x20x2</t>
  </si>
  <si>
    <t xml:space="preserve">FK12x20x2n</t>
  </si>
  <si>
    <t xml:space="preserve">12x24x2</t>
  </si>
  <si>
    <t xml:space="preserve">FK12x24x2</t>
  </si>
  <si>
    <t xml:space="preserve">FK12x24x2n</t>
  </si>
  <si>
    <t xml:space="preserve">12x30x2</t>
  </si>
  <si>
    <t xml:space="preserve">FK12x30x2</t>
  </si>
  <si>
    <t xml:space="preserve">14x20x2</t>
  </si>
  <si>
    <t xml:space="preserve">FK14x20x2</t>
  </si>
  <si>
    <t xml:space="preserve">14x25x2</t>
  </si>
  <si>
    <t xml:space="preserve">FK14x25x2</t>
  </si>
  <si>
    <t xml:space="preserve">14x30x2</t>
  </si>
  <si>
    <t xml:space="preserve">FK14x30x2</t>
  </si>
  <si>
    <t xml:space="preserve">15x30x2</t>
  </si>
  <si>
    <t xml:space="preserve">FK15x30x2</t>
  </si>
  <si>
    <t xml:space="preserve">16x16x2</t>
  </si>
  <si>
    <t xml:space="preserve">FK16x16x2</t>
  </si>
  <si>
    <t xml:space="preserve">16x20x2</t>
  </si>
  <si>
    <t xml:space="preserve">FK16x20x2</t>
  </si>
  <si>
    <t xml:space="preserve">16x24x2</t>
  </si>
  <si>
    <t xml:space="preserve">FK16x24x2</t>
  </si>
  <si>
    <t xml:space="preserve">16x25x2</t>
  </si>
  <si>
    <t xml:space="preserve">FK16x25x2</t>
  </si>
  <si>
    <t xml:space="preserve">16x30x2</t>
  </si>
  <si>
    <t xml:space="preserve">FK16x30x2</t>
  </si>
  <si>
    <t xml:space="preserve">18x18x2</t>
  </si>
  <si>
    <t xml:space="preserve">FK18x18x2</t>
  </si>
  <si>
    <t xml:space="preserve">18x24x2</t>
  </si>
  <si>
    <t xml:space="preserve">FK18x24x2</t>
  </si>
  <si>
    <t xml:space="preserve">20x20x2</t>
  </si>
  <si>
    <t xml:space="preserve">FK20x20x2</t>
  </si>
  <si>
    <t xml:space="preserve">20x22x2</t>
  </si>
  <si>
    <t xml:space="preserve">FK20x22x2</t>
  </si>
  <si>
    <t xml:space="preserve">20x24x2</t>
  </si>
  <si>
    <t xml:space="preserve">FK20x24x2</t>
  </si>
  <si>
    <t xml:space="preserve">20x25x2</t>
  </si>
  <si>
    <t xml:space="preserve">FK20x25x2</t>
  </si>
  <si>
    <t xml:space="preserve">20x30x2</t>
  </si>
  <si>
    <t xml:space="preserve">FK20x30x2</t>
  </si>
  <si>
    <t xml:space="preserve">20x35x2</t>
  </si>
  <si>
    <t xml:space="preserve">FK20x35x2</t>
  </si>
  <si>
    <t xml:space="preserve">24x24x2</t>
  </si>
  <si>
    <t xml:space="preserve">FK24x24x2</t>
  </si>
  <si>
    <t xml:space="preserve">25x25x2</t>
  </si>
  <si>
    <t xml:space="preserve">FK25x25x2</t>
  </si>
  <si>
    <t xml:space="preserve">30x30x2</t>
  </si>
  <si>
    <t xml:space="preserve">FK30x30x2</t>
  </si>
  <si>
    <t xml:space="preserve">6.88x15.88x2</t>
  </si>
  <si>
    <t xml:space="preserve">FK6.88x15.88x2a</t>
  </si>
  <si>
    <t xml:space="preserve">8x16x2</t>
  </si>
  <si>
    <t xml:space="preserve">FK8x16x2</t>
  </si>
  <si>
    <t xml:space="preserve">8x30x2</t>
  </si>
  <si>
    <t xml:space="preserve">FK8x30x2</t>
  </si>
  <si>
    <t xml:space="preserve">9.75x23.75x2</t>
  </si>
  <si>
    <t xml:space="preserve">FK9.75x23.75x2a</t>
  </si>
  <si>
    <t xml:space="preserve">10x20x4</t>
  </si>
  <si>
    <t xml:space="preserve">FK10x20x4</t>
  </si>
  <si>
    <t xml:space="preserve">16x20x4</t>
  </si>
  <si>
    <t xml:space="preserve">FK16x20x4</t>
  </si>
  <si>
    <t xml:space="preserve">16x24x4</t>
  </si>
  <si>
    <t xml:space="preserve">FK16x24x4</t>
  </si>
  <si>
    <t xml:space="preserve">16x25x4</t>
  </si>
  <si>
    <t xml:space="preserve">FK16x25x4</t>
  </si>
  <si>
    <t xml:space="preserve">20x20x4</t>
  </si>
  <si>
    <t xml:space="preserve">FK20x20x4</t>
  </si>
  <si>
    <t xml:space="preserve">20x24x4</t>
  </si>
  <si>
    <t xml:space="preserve">FK20x24x4</t>
  </si>
  <si>
    <t xml:space="preserve">8x16x4</t>
  </si>
  <si>
    <t xml:space="preserve">FK8x16x4</t>
  </si>
  <si>
    <t xml:space="preserve">16x25x5</t>
  </si>
  <si>
    <t xml:space="preserve">FK16x25x5</t>
  </si>
  <si>
    <t xml:space="preserve">20x25x5</t>
  </si>
  <si>
    <t xml:space="preserve">FK20x25x5</t>
  </si>
  <si>
    <t xml:space="preserve">Filter King Wholesale Cost vs Filter King's own public website price</t>
  </si>
  <si>
    <t xml:space="preserve">Wholesale = Paul Sellaro's 2025 dealer cost sheet, Filter King LLC. FK Website = live scrape of filterking.com sale unit price, dated 2026-08-20. Markup % = (FK 1-pack price minus wholesale cost) / FK 1-pack price. Source: docs/FILTER-KING-PRICING-BRIEF.md, Part 3 full match table.</t>
  </si>
  <si>
    <t xml:space="preserve">FK Website 1-pack</t>
  </si>
  <si>
    <t xml:space="preserve">FK Markup %</t>
  </si>
  <si>
    <t xml:space="preserve">FK Website 2-pack</t>
  </si>
  <si>
    <t xml:space="preserve">FK Website 4-pack</t>
  </si>
  <si>
    <t xml:space="preserve">FK Website 6-pack</t>
  </si>
  <si>
    <t xml:space="preserve">FK Website 12-pack</t>
  </si>
  <si>
    <t xml:space="preserve">Retail Source</t>
  </si>
  <si>
    <t xml:space="preserve">Other SKUs on Sheet</t>
  </si>
  <si>
    <t xml:space="preserve">Live scrape</t>
  </si>
  <si>
    <t xml:space="preserve">—</t>
  </si>
  <si>
    <t xml:space="preserve">Modeled</t>
  </si>
  <si>
    <t xml:space="preserve">FK12x24x1N</t>
  </si>
  <si>
    <t xml:space="preserve">FK18x36x1A</t>
  </si>
  <si>
    <t xml:space="preserve">FK22x22x1A</t>
  </si>
  <si>
    <t xml:space="preserve">FK22x24x1A</t>
  </si>
  <si>
    <t xml:space="preserve">FK24x36x1A</t>
  </si>
  <si>
    <t xml:space="preserve">FK25x32x1A</t>
  </si>
  <si>
    <t xml:space="preserve">FK6x12x1A</t>
  </si>
  <si>
    <t xml:space="preserve">FK6x14x1A</t>
  </si>
</sst>
</file>

<file path=xl/styles.xml><?xml version="1.0" encoding="utf-8"?>
<styleSheet xmlns="http://schemas.openxmlformats.org/spreadsheetml/2006/main">
  <numFmts count="3">
    <numFmt numFmtId="164" formatCode="General"/>
    <numFmt numFmtId="165" formatCode="\$#,##0.00"/>
    <numFmt numFmtId="166" formatCode="0.0%"/>
  </numFmts>
  <fonts count="8">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i val="true"/>
      <sz val="9"/>
      <color rgb="FF595959"/>
      <name val="Arial"/>
      <family val="0"/>
      <charset val="1"/>
    </font>
    <font>
      <b val="true"/>
      <sz val="10"/>
      <color rgb="FFFFFF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2F2F2"/>
        <bgColor rgb="FFF2EDED"/>
      </patternFill>
    </fill>
    <fill>
      <patternFill patternType="solid">
        <fgColor rgb="FF6B2B2B"/>
        <bgColor rgb="FF333333"/>
      </patternFill>
    </fill>
    <fill>
      <patternFill patternType="solid">
        <fgColor rgb="FFF2EDED"/>
        <bgColor rgb="FFF2F2F2"/>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5" fontId="5" fillId="3" borderId="1" xfId="0" applyFont="true" applyBorder="true" applyAlignment="false" applyProtection="false">
      <alignment horizontal="general" vertical="bottom" textRotation="0" wrapText="false" indent="0" shrinkToFit="false"/>
      <protection locked="true" hidden="false"/>
    </xf>
    <xf numFmtId="166" fontId="5"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6B2B2B"/>
          <bgColor rgb="FF000000"/>
        </patternFill>
      </fill>
    </dxf>
    <dxf>
      <fill>
        <patternFill patternType="solid">
          <fgColor rgb="FFF2EDE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F2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6B2B2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5"/>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23.85" hidden="false" customHeight="false" outlineLevel="0" collapsed="false">
      <c r="A4" s="2" t="s">
        <v>2</v>
      </c>
    </row>
    <row r="5" customFormat="false" ht="1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row>
    <row r="8" customFormat="false" ht="23.8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row>
    <row r="11" customFormat="false" ht="23.85" hidden="false" customHeight="false" outlineLevel="0" collapsed="false">
      <c r="A11" s="2" t="s">
        <v>7</v>
      </c>
    </row>
    <row r="12" customFormat="false" ht="23.85" hidden="false" customHeight="false" outlineLevel="0" collapsed="false">
      <c r="A12" s="2" t="s">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
    <col collapsed="false" customWidth="true" hidden="false" outlineLevel="0" max="3" min="3" style="0" width="16"/>
    <col collapsed="false" customWidth="true" hidden="false" outlineLevel="0" max="4" min="4" style="0" width="13"/>
    <col collapsed="false" customWidth="true" hidden="false" outlineLevel="0" max="5" min="5" style="0" width="12"/>
    <col collapsed="false" customWidth="true" hidden="false" outlineLevel="0" max="6" min="6" style="0" width="10"/>
    <col collapsed="false" customWidth="true" hidden="false" outlineLevel="0" max="7" min="7" style="0" width="9"/>
    <col collapsed="false" customWidth="true" hidden="false" outlineLevel="0" max="8" min="8" style="0" width="12"/>
    <col collapsed="false" customWidth="true" hidden="false" outlineLevel="0" max="9" min="9" style="0" width="10"/>
    <col collapsed="false" customWidth="true" hidden="false" outlineLevel="0" max="10" min="10" style="0" width="9"/>
    <col collapsed="false" customWidth="true" hidden="false" outlineLevel="0" max="11" min="11" style="0" width="12"/>
    <col collapsed="false" customWidth="true" hidden="false" outlineLevel="0" max="12" min="12" style="0" width="10"/>
    <col collapsed="false" customWidth="true" hidden="false" outlineLevel="0" max="13" min="13" style="0" width="9"/>
    <col collapsed="false" customWidth="true" hidden="false" outlineLevel="0" max="14" min="14" style="0" width="12"/>
    <col collapsed="false" customWidth="true" hidden="false" outlineLevel="0" max="15" min="15" style="0" width="10"/>
    <col collapsed="false" customWidth="true" hidden="false" outlineLevel="0" max="16" min="16" style="0" width="9"/>
    <col collapsed="false" customWidth="true" hidden="false" outlineLevel="0" max="17" min="17" style="0" width="13"/>
    <col collapsed="false" customWidth="true" hidden="false" outlineLevel="0" max="18" min="18" style="0" width="10"/>
    <col collapsed="false" customWidth="true" hidden="false" outlineLevel="0" max="19" min="19" style="0" width="9"/>
  </cols>
  <sheetData>
    <row r="1" customFormat="false" ht="17.35" hidden="false" customHeight="false" outlineLevel="0" collapsed="false">
      <c r="A1" s="3" t="s">
        <v>9</v>
      </c>
      <c r="B1" s="3"/>
      <c r="C1" s="3"/>
      <c r="D1" s="3"/>
      <c r="E1" s="3"/>
      <c r="F1" s="3"/>
      <c r="G1" s="3"/>
      <c r="H1" s="3"/>
      <c r="I1" s="3"/>
      <c r="J1" s="3"/>
      <c r="K1" s="3"/>
      <c r="L1" s="3"/>
      <c r="M1" s="3"/>
      <c r="N1" s="3"/>
      <c r="O1" s="3"/>
      <c r="P1" s="3"/>
      <c r="Q1" s="3"/>
      <c r="R1" s="3"/>
      <c r="S1" s="3"/>
    </row>
    <row r="2" customFormat="false" ht="22.35" hidden="false" customHeight="true" outlineLevel="0" collapsed="false">
      <c r="A2" s="4" t="s">
        <v>10</v>
      </c>
      <c r="B2" s="4"/>
      <c r="C2" s="4"/>
      <c r="D2" s="4"/>
      <c r="E2" s="4"/>
      <c r="F2" s="4"/>
      <c r="G2" s="4"/>
      <c r="H2" s="4"/>
      <c r="I2" s="4"/>
      <c r="J2" s="4"/>
      <c r="K2" s="4"/>
      <c r="L2" s="4"/>
      <c r="M2" s="4"/>
      <c r="N2" s="4"/>
      <c r="O2" s="4"/>
      <c r="P2" s="4"/>
      <c r="Q2" s="4"/>
      <c r="R2" s="4"/>
      <c r="S2" s="4"/>
    </row>
    <row r="4" customFormat="false" ht="15" hidden="false" customHeight="false" outlineLevel="0" collapsed="false">
      <c r="A4" s="5" t="s">
        <v>11</v>
      </c>
      <c r="B4" s="5" t="s">
        <v>12</v>
      </c>
      <c r="C4" s="5" t="s">
        <v>13</v>
      </c>
      <c r="D4" s="5" t="s">
        <v>14</v>
      </c>
      <c r="E4" s="5" t="s">
        <v>15</v>
      </c>
      <c r="F4" s="5" t="s">
        <v>16</v>
      </c>
      <c r="G4" s="5" t="s">
        <v>17</v>
      </c>
      <c r="H4" s="5" t="s">
        <v>18</v>
      </c>
      <c r="I4" s="5" t="s">
        <v>16</v>
      </c>
      <c r="J4" s="5" t="s">
        <v>17</v>
      </c>
      <c r="K4" s="5" t="s">
        <v>19</v>
      </c>
      <c r="L4" s="5" t="s">
        <v>16</v>
      </c>
      <c r="M4" s="5" t="s">
        <v>17</v>
      </c>
      <c r="N4" s="5" t="s">
        <v>20</v>
      </c>
      <c r="O4" s="5" t="s">
        <v>16</v>
      </c>
      <c r="P4" s="5" t="s">
        <v>17</v>
      </c>
      <c r="Q4" s="5" t="s">
        <v>21</v>
      </c>
      <c r="R4" s="5" t="s">
        <v>16</v>
      </c>
      <c r="S4" s="5" t="s">
        <v>17</v>
      </c>
    </row>
    <row r="5" customFormat="false" ht="15" hidden="false" customHeight="false" outlineLevel="0" collapsed="false">
      <c r="A5" s="6" t="s">
        <v>22</v>
      </c>
      <c r="B5" s="7" t="s">
        <v>23</v>
      </c>
      <c r="C5" s="6" t="s">
        <v>24</v>
      </c>
      <c r="D5" s="8" t="n">
        <v>6.48</v>
      </c>
      <c r="E5" s="8" t="n">
        <v>49.48</v>
      </c>
      <c r="F5" s="8" t="n">
        <f aca="false">E5-D5</f>
        <v>43</v>
      </c>
      <c r="G5" s="9" t="n">
        <f aca="false">IFERROR(F5/E5,"")</f>
        <v>0.869037995149555</v>
      </c>
      <c r="H5" s="8" t="n">
        <v>32.41</v>
      </c>
      <c r="I5" s="8" t="n">
        <f aca="false">H5-D5</f>
        <v>25.93</v>
      </c>
      <c r="J5" s="9" t="n">
        <f aca="false">IFERROR(I5/H5,"")</f>
        <v>0.800061709348966</v>
      </c>
      <c r="K5" s="8" t="n">
        <v>23.58</v>
      </c>
      <c r="L5" s="8" t="n">
        <f aca="false">K5-D5</f>
        <v>17.1</v>
      </c>
      <c r="M5" s="9" t="n">
        <f aca="false">IFERROR(L5/K5,"")</f>
        <v>0.725190839694657</v>
      </c>
      <c r="N5" s="8" t="n">
        <v>21.22</v>
      </c>
      <c r="O5" s="8" t="n">
        <f aca="false">N5-D5</f>
        <v>14.74</v>
      </c>
      <c r="P5" s="9" t="n">
        <f aca="false">IFERROR(O5/N5,"")</f>
        <v>0.694627709707823</v>
      </c>
      <c r="Q5" s="8" t="n">
        <v>20.43</v>
      </c>
      <c r="R5" s="8" t="n">
        <f aca="false">Q5-D5</f>
        <v>13.95</v>
      </c>
      <c r="S5" s="9" t="n">
        <f aca="false">IFERROR(R5/Q5,"")</f>
        <v>0.682819383259912</v>
      </c>
    </row>
    <row r="6" customFormat="false" ht="15" hidden="false" customHeight="false" outlineLevel="0" collapsed="false">
      <c r="A6" s="10" t="s">
        <v>22</v>
      </c>
      <c r="B6" s="11" t="s">
        <v>25</v>
      </c>
      <c r="C6" s="10" t="s">
        <v>24</v>
      </c>
      <c r="D6" s="12" t="n">
        <v>7.13</v>
      </c>
      <c r="E6" s="12" t="n">
        <v>44.17</v>
      </c>
      <c r="F6" s="12" t="n">
        <f aca="false">E6-D6</f>
        <v>37.04</v>
      </c>
      <c r="G6" s="13" t="n">
        <f aca="false">IFERROR(F6/E6,"")</f>
        <v>0.838578220511659</v>
      </c>
      <c r="H6" s="12" t="n">
        <v>28.98</v>
      </c>
      <c r="I6" s="12" t="n">
        <f aca="false">H6-D6</f>
        <v>21.85</v>
      </c>
      <c r="J6" s="13" t="n">
        <f aca="false">IFERROR(I6/H6,"")</f>
        <v>0.753968253968254</v>
      </c>
      <c r="K6" s="12" t="n">
        <v>24.82</v>
      </c>
      <c r="L6" s="12" t="n">
        <f aca="false">K6-D6</f>
        <v>17.69</v>
      </c>
      <c r="M6" s="13" t="n">
        <f aca="false">IFERROR(L6/K6,"")</f>
        <v>0.71273166800967</v>
      </c>
      <c r="N6" s="12" t="n">
        <v>22.35</v>
      </c>
      <c r="O6" s="12" t="n">
        <f aca="false">N6-D6</f>
        <v>15.22</v>
      </c>
      <c r="P6" s="13" t="n">
        <f aca="false">IFERROR(O6/N6,"")</f>
        <v>0.680984340044743</v>
      </c>
      <c r="Q6" s="12" t="n">
        <v>21.52</v>
      </c>
      <c r="R6" s="12" t="n">
        <f aca="false">Q6-D6</f>
        <v>14.39</v>
      </c>
      <c r="S6" s="13" t="n">
        <f aca="false">IFERROR(R6/Q6,"")</f>
        <v>0.66868029739777</v>
      </c>
    </row>
    <row r="7" customFormat="false" ht="15" hidden="false" customHeight="false" outlineLevel="0" collapsed="false">
      <c r="A7" s="6" t="s">
        <v>26</v>
      </c>
      <c r="B7" s="7" t="s">
        <v>27</v>
      </c>
      <c r="C7" s="6" t="s">
        <v>28</v>
      </c>
      <c r="D7" s="8" t="n">
        <v>3.93</v>
      </c>
      <c r="E7" s="8" t="n">
        <v>41.82</v>
      </c>
      <c r="F7" s="8" t="n">
        <f aca="false">E7-D7</f>
        <v>37.89</v>
      </c>
      <c r="G7" s="9" t="n">
        <f aca="false">IFERROR(F7/E7,"")</f>
        <v>0.906025824964132</v>
      </c>
      <c r="H7" s="8" t="n">
        <v>27.23</v>
      </c>
      <c r="I7" s="8" t="n">
        <f aca="false">H7-D7</f>
        <v>23.3</v>
      </c>
      <c r="J7" s="9" t="n">
        <f aca="false">IFERROR(I7/H7,"")</f>
        <v>0.855673889092912</v>
      </c>
      <c r="K7" s="8" t="n">
        <v>18.78</v>
      </c>
      <c r="L7" s="8" t="n">
        <f aca="false">K7-D7</f>
        <v>14.85</v>
      </c>
      <c r="M7" s="9" t="n">
        <f aca="false">IFERROR(L7/K7,"")</f>
        <v>0.79073482428115</v>
      </c>
      <c r="N7" s="8" t="n">
        <v>17.08</v>
      </c>
      <c r="O7" s="8" t="n">
        <f aca="false">N7-D7</f>
        <v>13.15</v>
      </c>
      <c r="P7" s="9" t="n">
        <f aca="false">IFERROR(O7/N7,"")</f>
        <v>0.769906323185012</v>
      </c>
      <c r="Q7" s="8" t="n">
        <v>16.44</v>
      </c>
      <c r="R7" s="8" t="n">
        <f aca="false">Q7-D7</f>
        <v>12.51</v>
      </c>
      <c r="S7" s="9" t="n">
        <f aca="false">IFERROR(R7/Q7,"")</f>
        <v>0.760948905109489</v>
      </c>
    </row>
    <row r="8" customFormat="false" ht="15" hidden="false" customHeight="false" outlineLevel="0" collapsed="false">
      <c r="A8" s="10" t="s">
        <v>26</v>
      </c>
      <c r="B8" s="11" t="s">
        <v>23</v>
      </c>
      <c r="C8" s="10" t="s">
        <v>28</v>
      </c>
      <c r="D8" s="12" t="n">
        <v>4.63</v>
      </c>
      <c r="E8" s="12" t="n">
        <v>46.01</v>
      </c>
      <c r="F8" s="12" t="n">
        <f aca="false">E8-D8</f>
        <v>41.38</v>
      </c>
      <c r="G8" s="13" t="n">
        <f aca="false">IFERROR(F8/E8,"")</f>
        <v>0.899369702238644</v>
      </c>
      <c r="H8" s="12" t="n">
        <v>29.97</v>
      </c>
      <c r="I8" s="12" t="n">
        <f aca="false">H8-D8</f>
        <v>25.34</v>
      </c>
      <c r="J8" s="13" t="n">
        <f aca="false">IFERROR(I8/H8,"")</f>
        <v>0.845512178845512</v>
      </c>
      <c r="K8" s="12" t="n">
        <v>23.58</v>
      </c>
      <c r="L8" s="12" t="n">
        <f aca="false">K8-D8</f>
        <v>18.95</v>
      </c>
      <c r="M8" s="13" t="n">
        <f aca="false">IFERROR(L8/K8,"")</f>
        <v>0.803647158608991</v>
      </c>
      <c r="N8" s="12" t="n">
        <v>21.22</v>
      </c>
      <c r="O8" s="12" t="n">
        <f aca="false">N8-D8</f>
        <v>16.59</v>
      </c>
      <c r="P8" s="13" t="n">
        <f aca="false">IFERROR(O8/N8,"")</f>
        <v>0.781809613572102</v>
      </c>
      <c r="Q8" s="12" t="n">
        <v>20.43</v>
      </c>
      <c r="R8" s="12" t="n">
        <f aca="false">Q8-D8</f>
        <v>15.8</v>
      </c>
      <c r="S8" s="13" t="n">
        <f aca="false">IFERROR(R8/Q8,"")</f>
        <v>0.773372491434166</v>
      </c>
    </row>
    <row r="9" customFormat="false" ht="15" hidden="false" customHeight="false" outlineLevel="0" collapsed="false">
      <c r="A9" s="6" t="s">
        <v>26</v>
      </c>
      <c r="B9" s="7" t="s">
        <v>25</v>
      </c>
      <c r="C9" s="6" t="s">
        <v>28</v>
      </c>
      <c r="D9" s="8" t="n">
        <v>5.09</v>
      </c>
      <c r="E9" s="8" t="n">
        <v>41.39</v>
      </c>
      <c r="F9" s="8" t="n">
        <f aca="false">E9-D9</f>
        <v>36.3</v>
      </c>
      <c r="G9" s="9" t="n">
        <f aca="false">IFERROR(F9/E9,"")</f>
        <v>0.877023435612467</v>
      </c>
      <c r="H9" s="8" t="n">
        <v>28.98</v>
      </c>
      <c r="I9" s="8" t="n">
        <f aca="false">H9-D9</f>
        <v>23.89</v>
      </c>
      <c r="J9" s="9" t="n">
        <f aca="false">IFERROR(I9/H9,"")</f>
        <v>0.824361628709455</v>
      </c>
      <c r="K9" s="8" t="n">
        <v>24.82</v>
      </c>
      <c r="L9" s="8" t="n">
        <f aca="false">K9-D9</f>
        <v>19.73</v>
      </c>
      <c r="M9" s="9" t="n">
        <f aca="false">IFERROR(L9/K9,"")</f>
        <v>0.794923448831587</v>
      </c>
      <c r="N9" s="8" t="n">
        <v>22.35</v>
      </c>
      <c r="O9" s="8" t="n">
        <f aca="false">N9-D9</f>
        <v>17.26</v>
      </c>
      <c r="P9" s="9" t="n">
        <f aca="false">IFERROR(O9/N9,"")</f>
        <v>0.772259507829978</v>
      </c>
      <c r="Q9" s="8" t="n">
        <v>21.52</v>
      </c>
      <c r="R9" s="8" t="n">
        <f aca="false">Q9-D9</f>
        <v>16.43</v>
      </c>
      <c r="S9" s="9" t="n">
        <f aca="false">IFERROR(R9/Q9,"")</f>
        <v>0.763475836431227</v>
      </c>
    </row>
    <row r="10" customFormat="false" ht="15" hidden="false" customHeight="false" outlineLevel="0" collapsed="false">
      <c r="A10" s="10" t="s">
        <v>29</v>
      </c>
      <c r="B10" s="11" t="s">
        <v>27</v>
      </c>
      <c r="C10" s="10" t="s">
        <v>30</v>
      </c>
      <c r="D10" s="12" t="n">
        <v>5.35</v>
      </c>
      <c r="E10" s="12" t="n">
        <v>41.82</v>
      </c>
      <c r="F10" s="12" t="n">
        <f aca="false">E10-D10</f>
        <v>36.47</v>
      </c>
      <c r="G10" s="13" t="n">
        <f aca="false">IFERROR(F10/E10,"")</f>
        <v>0.872070779531325</v>
      </c>
      <c r="H10" s="12" t="n">
        <v>27.23</v>
      </c>
      <c r="I10" s="12" t="n">
        <f aca="false">H10-D10</f>
        <v>21.88</v>
      </c>
      <c r="J10" s="13" t="n">
        <f aca="false">IFERROR(I10/H10,"")</f>
        <v>0.803525523319868</v>
      </c>
      <c r="K10" s="12" t="n">
        <v>18.78</v>
      </c>
      <c r="L10" s="12" t="n">
        <f aca="false">K10-D10</f>
        <v>13.43</v>
      </c>
      <c r="M10" s="13" t="n">
        <f aca="false">IFERROR(L10/K10,"")</f>
        <v>0.715122470713525</v>
      </c>
      <c r="N10" s="12" t="n">
        <v>17.08</v>
      </c>
      <c r="O10" s="12" t="n">
        <f aca="false">N10-D10</f>
        <v>11.73</v>
      </c>
      <c r="P10" s="13" t="n">
        <f aca="false">IFERROR(O10/N10,"")</f>
        <v>0.686768149882904</v>
      </c>
      <c r="Q10" s="12" t="n">
        <v>16.44</v>
      </c>
      <c r="R10" s="12" t="n">
        <f aca="false">Q10-D10</f>
        <v>11.09</v>
      </c>
      <c r="S10" s="13" t="n">
        <f aca="false">IFERROR(R10/Q10,"")</f>
        <v>0.674574209245742</v>
      </c>
    </row>
    <row r="11" customFormat="false" ht="15" hidden="false" customHeight="false" outlineLevel="0" collapsed="false">
      <c r="A11" s="6" t="s">
        <v>31</v>
      </c>
      <c r="B11" s="7" t="s">
        <v>27</v>
      </c>
      <c r="C11" s="6" t="s">
        <v>32</v>
      </c>
      <c r="D11" s="8" t="n">
        <v>2.81</v>
      </c>
      <c r="E11" s="8" t="n">
        <v>25.47</v>
      </c>
      <c r="F11" s="8" t="n">
        <f aca="false">E11-D11</f>
        <v>22.66</v>
      </c>
      <c r="G11" s="9" t="n">
        <f aca="false">IFERROR(F11/E11,"")</f>
        <v>0.889674126423243</v>
      </c>
      <c r="H11" s="8" t="n">
        <v>13.48</v>
      </c>
      <c r="I11" s="8" t="n">
        <f aca="false">H11-D11</f>
        <v>10.67</v>
      </c>
      <c r="J11" s="9" t="n">
        <f aca="false">IFERROR(I11/H11,"")</f>
        <v>0.791543026706231</v>
      </c>
      <c r="K11" s="8" t="n">
        <v>6.61</v>
      </c>
      <c r="L11" s="8" t="n">
        <f aca="false">K11-D11</f>
        <v>3.8</v>
      </c>
      <c r="M11" s="9" t="n">
        <f aca="false">IFERROR(L11/K11,"")</f>
        <v>0.574886535552194</v>
      </c>
      <c r="N11" s="8" t="n">
        <v>6.74</v>
      </c>
      <c r="O11" s="8" t="n">
        <f aca="false">N11-D11</f>
        <v>3.93</v>
      </c>
      <c r="P11" s="9" t="n">
        <f aca="false">IFERROR(O11/N11,"")</f>
        <v>0.583086053412463</v>
      </c>
      <c r="Q11" s="8" t="n">
        <v>5.24</v>
      </c>
      <c r="R11" s="8" t="n">
        <f aca="false">Q11-D11</f>
        <v>2.43</v>
      </c>
      <c r="S11" s="9" t="n">
        <f aca="false">IFERROR(R11/Q11,"")</f>
        <v>0.463740458015267</v>
      </c>
    </row>
    <row r="12" customFormat="false" ht="15" hidden="false" customHeight="false" outlineLevel="0" collapsed="false">
      <c r="A12" s="10" t="s">
        <v>33</v>
      </c>
      <c r="B12" s="11" t="s">
        <v>27</v>
      </c>
      <c r="C12" s="10" t="s">
        <v>34</v>
      </c>
      <c r="D12" s="12" t="n">
        <v>3.87</v>
      </c>
      <c r="E12" s="12" t="n">
        <v>29</v>
      </c>
      <c r="F12" s="12" t="n">
        <f aca="false">E12-D12</f>
        <v>25.13</v>
      </c>
      <c r="G12" s="13" t="n">
        <f aca="false">IFERROR(F12/E12,"")</f>
        <v>0.866551724137931</v>
      </c>
      <c r="H12" s="12" t="n">
        <v>16.75</v>
      </c>
      <c r="I12" s="12" t="n">
        <f aca="false">H12-D12</f>
        <v>12.88</v>
      </c>
      <c r="J12" s="13" t="n">
        <f aca="false">IFERROR(I12/H12,"")</f>
        <v>0.768955223880597</v>
      </c>
      <c r="K12" s="12" t="n">
        <v>9.68</v>
      </c>
      <c r="L12" s="12" t="n">
        <f aca="false">K12-D12</f>
        <v>5.81</v>
      </c>
      <c r="M12" s="13" t="n">
        <f aca="false">IFERROR(L12/K12,"")</f>
        <v>0.600206611570248</v>
      </c>
      <c r="N12" s="12" t="n">
        <v>8.24</v>
      </c>
      <c r="O12" s="12" t="n">
        <f aca="false">N12-D12</f>
        <v>4.37</v>
      </c>
      <c r="P12" s="13" t="n">
        <f aca="false">IFERROR(O12/N12,"")</f>
        <v>0.530339805825243</v>
      </c>
      <c r="Q12" s="12" t="n">
        <v>7.49</v>
      </c>
      <c r="R12" s="12" t="n">
        <f aca="false">Q12-D12</f>
        <v>3.62</v>
      </c>
      <c r="S12" s="13" t="n">
        <f aca="false">IFERROR(R12/Q12,"")</f>
        <v>0.483311081441923</v>
      </c>
    </row>
    <row r="13" customFormat="false" ht="15" hidden="false" customHeight="false" outlineLevel="0" collapsed="false">
      <c r="A13" s="6" t="s">
        <v>35</v>
      </c>
      <c r="B13" s="7" t="s">
        <v>27</v>
      </c>
      <c r="C13" s="6" t="s">
        <v>36</v>
      </c>
      <c r="D13" s="8" t="n">
        <v>4.07</v>
      </c>
      <c r="E13" s="8" t="n">
        <v>32.43</v>
      </c>
      <c r="F13" s="8" t="n">
        <f aca="false">E13-D13</f>
        <v>28.36</v>
      </c>
      <c r="G13" s="9" t="n">
        <f aca="false">IFERROR(F13/E13,"")</f>
        <v>0.87449892075239</v>
      </c>
      <c r="H13" s="8" t="n">
        <v>21.8</v>
      </c>
      <c r="I13" s="8" t="n">
        <f aca="false">H13-D13</f>
        <v>17.73</v>
      </c>
      <c r="J13" s="9" t="n">
        <f aca="false">IFERROR(I13/H13,"")</f>
        <v>0.813302752293578</v>
      </c>
      <c r="K13" s="8" t="n">
        <v>10.12</v>
      </c>
      <c r="L13" s="8" t="n">
        <f aca="false">K13-D13</f>
        <v>6.05</v>
      </c>
      <c r="M13" s="9" t="n">
        <f aca="false">IFERROR(L13/K13,"")</f>
        <v>0.597826086956522</v>
      </c>
      <c r="N13" s="8" t="n">
        <v>9.54</v>
      </c>
      <c r="O13" s="8" t="n">
        <f aca="false">N13-D13</f>
        <v>5.47</v>
      </c>
      <c r="P13" s="9" t="n">
        <f aca="false">IFERROR(O13/N13,"")</f>
        <v>0.573375262054507</v>
      </c>
      <c r="Q13" s="8" t="n">
        <v>8.64</v>
      </c>
      <c r="R13" s="8" t="n">
        <f aca="false">Q13-D13</f>
        <v>4.57</v>
      </c>
      <c r="S13" s="9" t="n">
        <f aca="false">IFERROR(R13/Q13,"")</f>
        <v>0.528935185185185</v>
      </c>
    </row>
    <row r="14" customFormat="false" ht="15" hidden="false" customHeight="false" outlineLevel="0" collapsed="false">
      <c r="A14" s="10" t="s">
        <v>35</v>
      </c>
      <c r="B14" s="11" t="s">
        <v>23</v>
      </c>
      <c r="C14" s="10" t="s">
        <v>36</v>
      </c>
      <c r="D14" s="12" t="n">
        <v>4.41</v>
      </c>
      <c r="E14" s="12" t="n">
        <v>35.68</v>
      </c>
      <c r="F14" s="12" t="n">
        <f aca="false">E14-D14</f>
        <v>31.27</v>
      </c>
      <c r="G14" s="13" t="n">
        <f aca="false">IFERROR(F14/E14,"")</f>
        <v>0.87640134529148</v>
      </c>
      <c r="H14" s="12" t="n">
        <v>25.99</v>
      </c>
      <c r="I14" s="12" t="n">
        <f aca="false">H14-D14</f>
        <v>21.58</v>
      </c>
      <c r="J14" s="13" t="n">
        <f aca="false">IFERROR(I14/H14,"")</f>
        <v>0.830319353597538</v>
      </c>
      <c r="K14" s="12" t="n">
        <v>12.01</v>
      </c>
      <c r="L14" s="12" t="n">
        <f aca="false">K14-D14</f>
        <v>7.6</v>
      </c>
      <c r="M14" s="13" t="n">
        <f aca="false">IFERROR(L14/K14,"")</f>
        <v>0.632805995004163</v>
      </c>
      <c r="N14" s="12" t="n">
        <v>19.55</v>
      </c>
      <c r="O14" s="12" t="n">
        <f aca="false">N14-D14</f>
        <v>15.14</v>
      </c>
      <c r="P14" s="13" t="n">
        <f aca="false">IFERROR(O14/N14,"")</f>
        <v>0.774424552429668</v>
      </c>
      <c r="Q14" s="12" t="n">
        <v>11.49</v>
      </c>
      <c r="R14" s="12" t="n">
        <f aca="false">Q14-D14</f>
        <v>7.08</v>
      </c>
      <c r="S14" s="13" t="n">
        <f aca="false">IFERROR(R14/Q14,"")</f>
        <v>0.616187989556136</v>
      </c>
    </row>
    <row r="15" customFormat="false" ht="15" hidden="false" customHeight="false" outlineLevel="0" collapsed="false">
      <c r="A15" s="6" t="s">
        <v>35</v>
      </c>
      <c r="B15" s="7" t="s">
        <v>25</v>
      </c>
      <c r="C15" s="6" t="s">
        <v>36</v>
      </c>
      <c r="D15" s="8" t="n">
        <v>4.85</v>
      </c>
      <c r="E15" s="8" t="n">
        <v>38.58</v>
      </c>
      <c r="F15" s="8" t="n">
        <f aca="false">E15-D15</f>
        <v>33.73</v>
      </c>
      <c r="G15" s="9" t="n">
        <f aca="false">IFERROR(F15/E15,"")</f>
        <v>0.874287195438051</v>
      </c>
      <c r="H15" s="8" t="n">
        <v>28.12</v>
      </c>
      <c r="I15" s="8" t="n">
        <f aca="false">H15-D15</f>
        <v>23.27</v>
      </c>
      <c r="J15" s="9" t="n">
        <f aca="false">IFERROR(I15/H15,"")</f>
        <v>0.827524893314367</v>
      </c>
      <c r="K15" s="8" t="n">
        <v>12.64</v>
      </c>
      <c r="L15" s="8" t="n">
        <f aca="false">K15-D15</f>
        <v>7.79</v>
      </c>
      <c r="M15" s="9" t="n">
        <f aca="false">IFERROR(L15/K15,"")</f>
        <v>0.61629746835443</v>
      </c>
      <c r="N15" s="8" t="n">
        <v>17.34</v>
      </c>
      <c r="O15" s="8" t="n">
        <f aca="false">N15-D15</f>
        <v>12.49</v>
      </c>
      <c r="P15" s="9" t="n">
        <f aca="false">IFERROR(O15/N15,"")</f>
        <v>0.720299884659746</v>
      </c>
      <c r="Q15" s="8" t="n">
        <v>17.23</v>
      </c>
      <c r="R15" s="8" t="n">
        <f aca="false">Q15-D15</f>
        <v>12.38</v>
      </c>
      <c r="S15" s="9" t="n">
        <f aca="false">IFERROR(R15/Q15,"")</f>
        <v>0.718514219384794</v>
      </c>
    </row>
    <row r="16" customFormat="false" ht="15" hidden="false" customHeight="false" outlineLevel="0" collapsed="false">
      <c r="A16" s="10" t="s">
        <v>37</v>
      </c>
      <c r="B16" s="11" t="s">
        <v>27</v>
      </c>
      <c r="C16" s="10" t="s">
        <v>38</v>
      </c>
      <c r="D16" s="12" t="n">
        <v>3.74</v>
      </c>
      <c r="E16" s="12" t="n">
        <v>31.62</v>
      </c>
      <c r="F16" s="12" t="n">
        <f aca="false">E16-D16</f>
        <v>27.88</v>
      </c>
      <c r="G16" s="13" t="n">
        <f aca="false">IFERROR(F16/E16,"")</f>
        <v>0.881720430107527</v>
      </c>
      <c r="H16" s="12" t="n">
        <v>20.09</v>
      </c>
      <c r="I16" s="12" t="n">
        <f aca="false">H16-D16</f>
        <v>16.35</v>
      </c>
      <c r="J16" s="13" t="n">
        <f aca="false">IFERROR(I16/H16,"")</f>
        <v>0.813837730214037</v>
      </c>
      <c r="K16" s="12" t="n">
        <v>12.85</v>
      </c>
      <c r="L16" s="12" t="n">
        <f aca="false">K16-D16</f>
        <v>9.11</v>
      </c>
      <c r="M16" s="13" t="n">
        <f aca="false">IFERROR(L16/K16,"")</f>
        <v>0.708949416342412</v>
      </c>
      <c r="N16" s="12" t="n">
        <v>11.57</v>
      </c>
      <c r="O16" s="12" t="n">
        <f aca="false">N16-D16</f>
        <v>7.83</v>
      </c>
      <c r="P16" s="13" t="n">
        <f aca="false">IFERROR(O16/N16,"")</f>
        <v>0.676750216076059</v>
      </c>
      <c r="Q16" s="12" t="n">
        <v>11.14</v>
      </c>
      <c r="R16" s="12" t="n">
        <f aca="false">Q16-D16</f>
        <v>7.4</v>
      </c>
      <c r="S16" s="13" t="n">
        <f aca="false">IFERROR(R16/Q16,"")</f>
        <v>0.66427289048474</v>
      </c>
    </row>
    <row r="17" customFormat="false" ht="15" hidden="false" customHeight="false" outlineLevel="0" collapsed="false">
      <c r="A17" s="6" t="s">
        <v>39</v>
      </c>
      <c r="B17" s="7" t="s">
        <v>27</v>
      </c>
      <c r="C17" s="6" t="s">
        <v>40</v>
      </c>
      <c r="D17" s="8" t="n">
        <v>2.95</v>
      </c>
      <c r="E17" s="8" t="n">
        <v>23.94</v>
      </c>
      <c r="F17" s="8" t="n">
        <f aca="false">E17-D17</f>
        <v>20.99</v>
      </c>
      <c r="G17" s="9" t="n">
        <f aca="false">IFERROR(F17/E17,"")</f>
        <v>0.876775271512114</v>
      </c>
      <c r="H17" s="8" t="n">
        <v>13.48</v>
      </c>
      <c r="I17" s="8" t="n">
        <f aca="false">H17-D17</f>
        <v>10.53</v>
      </c>
      <c r="J17" s="9" t="n">
        <f aca="false">IFERROR(I17/H17,"")</f>
        <v>0.781157270029674</v>
      </c>
      <c r="K17" s="8" t="n">
        <v>6.37</v>
      </c>
      <c r="L17" s="8" t="n">
        <f aca="false">K17-D17</f>
        <v>3.42</v>
      </c>
      <c r="M17" s="9" t="n">
        <f aca="false">IFERROR(L17/K17,"")</f>
        <v>0.536891679748823</v>
      </c>
      <c r="N17" s="8" t="n">
        <v>6.74</v>
      </c>
      <c r="O17" s="8" t="n">
        <f aca="false">N17-D17</f>
        <v>3.79</v>
      </c>
      <c r="P17" s="9" t="n">
        <f aca="false">IFERROR(O17/N17,"")</f>
        <v>0.562314540059347</v>
      </c>
      <c r="Q17" s="8" t="n">
        <v>4.96</v>
      </c>
      <c r="R17" s="8" t="n">
        <f aca="false">Q17-D17</f>
        <v>2.01</v>
      </c>
      <c r="S17" s="9" t="n">
        <f aca="false">IFERROR(R17/Q17,"")</f>
        <v>0.405241935483871</v>
      </c>
    </row>
    <row r="18" customFormat="false" ht="15" hidden="false" customHeight="false" outlineLevel="0" collapsed="false">
      <c r="A18" s="10" t="s">
        <v>39</v>
      </c>
      <c r="B18" s="11" t="s">
        <v>23</v>
      </c>
      <c r="C18" s="10" t="s">
        <v>40</v>
      </c>
      <c r="D18" s="12" t="n">
        <v>2.88</v>
      </c>
      <c r="E18" s="12" t="n">
        <v>27.05</v>
      </c>
      <c r="F18" s="12" t="n">
        <f aca="false">E18-D18</f>
        <v>24.17</v>
      </c>
      <c r="G18" s="13" t="n">
        <f aca="false">IFERROR(F18/E18,"")</f>
        <v>0.893530499075786</v>
      </c>
      <c r="H18" s="12" t="n">
        <v>16.25</v>
      </c>
      <c r="I18" s="12" t="n">
        <f aca="false">H18-D18</f>
        <v>13.37</v>
      </c>
      <c r="J18" s="13" t="n">
        <f aca="false">IFERROR(I18/H18,"")</f>
        <v>0.822769230769231</v>
      </c>
      <c r="K18" s="12" t="n">
        <v>8.5</v>
      </c>
      <c r="L18" s="12" t="n">
        <f aca="false">K18-D18</f>
        <v>5.62</v>
      </c>
      <c r="M18" s="13" t="n">
        <f aca="false">IFERROR(L18/K18,"")</f>
        <v>0.661176470588235</v>
      </c>
      <c r="N18" s="12" t="n">
        <v>7.22</v>
      </c>
      <c r="O18" s="12" t="n">
        <f aca="false">N18-D18</f>
        <v>4.34</v>
      </c>
      <c r="P18" s="13" t="n">
        <f aca="false">IFERROR(O18/N18,"")</f>
        <v>0.601108033240997</v>
      </c>
      <c r="Q18" s="12" t="n">
        <v>7.91</v>
      </c>
      <c r="R18" s="12" t="n">
        <f aca="false">Q18-D18</f>
        <v>5.03</v>
      </c>
      <c r="S18" s="13" t="n">
        <f aca="false">IFERROR(R18/Q18,"")</f>
        <v>0.63590391908976</v>
      </c>
    </row>
    <row r="19" customFormat="false" ht="15" hidden="false" customHeight="false" outlineLevel="0" collapsed="false">
      <c r="A19" s="6" t="s">
        <v>39</v>
      </c>
      <c r="B19" s="7" t="s">
        <v>25</v>
      </c>
      <c r="C19" s="6" t="s">
        <v>40</v>
      </c>
      <c r="D19" s="8" t="n">
        <v>3.17</v>
      </c>
      <c r="E19" s="8" t="n">
        <v>28.49</v>
      </c>
      <c r="F19" s="8" t="n">
        <f aca="false">E19-D19</f>
        <v>25.32</v>
      </c>
      <c r="G19" s="9" t="n">
        <f aca="false">IFERROR(F19/E19,"")</f>
        <v>0.888732888732889</v>
      </c>
      <c r="H19" s="8" t="n">
        <v>17.11</v>
      </c>
      <c r="I19" s="8" t="n">
        <f aca="false">H19-D19</f>
        <v>13.94</v>
      </c>
      <c r="J19" s="9" t="n">
        <f aca="false">IFERROR(I19/H19,"")</f>
        <v>0.814728229105786</v>
      </c>
      <c r="K19" s="8" t="n">
        <v>8.14</v>
      </c>
      <c r="L19" s="8" t="n">
        <f aca="false">K19-D19</f>
        <v>4.97</v>
      </c>
      <c r="M19" s="9" t="n">
        <f aca="false">IFERROR(L19/K19,"")</f>
        <v>0.610565110565111</v>
      </c>
      <c r="N19" s="8" t="n">
        <v>6.86</v>
      </c>
      <c r="O19" s="8" t="n">
        <f aca="false">N19-D19</f>
        <v>3.69</v>
      </c>
      <c r="P19" s="9" t="n">
        <f aca="false">IFERROR(O19/N19,"")</f>
        <v>0.537900874635569</v>
      </c>
      <c r="Q19" s="8" t="n">
        <v>6.5</v>
      </c>
      <c r="R19" s="8" t="n">
        <f aca="false">Q19-D19</f>
        <v>3.33</v>
      </c>
      <c r="S19" s="9" t="n">
        <f aca="false">IFERROR(R19/Q19,"")</f>
        <v>0.512307692307692</v>
      </c>
    </row>
    <row r="20" customFormat="false" ht="15" hidden="false" customHeight="false" outlineLevel="0" collapsed="false">
      <c r="A20" s="10" t="s">
        <v>41</v>
      </c>
      <c r="B20" s="11" t="s">
        <v>27</v>
      </c>
      <c r="C20" s="10" t="s">
        <v>42</v>
      </c>
      <c r="D20" s="12" t="n">
        <v>2.5</v>
      </c>
      <c r="E20" s="12" t="n">
        <v>25.47</v>
      </c>
      <c r="F20" s="12" t="n">
        <f aca="false">E20-D20</f>
        <v>22.97</v>
      </c>
      <c r="G20" s="13" t="n">
        <f aca="false">IFERROR(F20/E20,"")</f>
        <v>0.901845308205732</v>
      </c>
      <c r="H20" s="12" t="n">
        <v>13.49</v>
      </c>
      <c r="I20" s="12" t="n">
        <f aca="false">H20-D20</f>
        <v>10.99</v>
      </c>
      <c r="J20" s="13" t="n">
        <f aca="false">IFERROR(I20/H20,"")</f>
        <v>0.814677538917717</v>
      </c>
      <c r="K20" s="12" t="n">
        <v>8.81</v>
      </c>
      <c r="L20" s="12" t="n">
        <f aca="false">K20-D20</f>
        <v>6.31</v>
      </c>
      <c r="M20" s="13" t="n">
        <f aca="false">IFERROR(L20/K20,"")</f>
        <v>0.716231555051078</v>
      </c>
      <c r="N20" s="12" t="n">
        <v>7.34</v>
      </c>
      <c r="O20" s="12" t="n">
        <f aca="false">N20-D20</f>
        <v>4.84</v>
      </c>
      <c r="P20" s="13" t="n">
        <f aca="false">IFERROR(O20/N20,"")</f>
        <v>0.659400544959128</v>
      </c>
      <c r="Q20" s="12" t="n">
        <v>7.41</v>
      </c>
      <c r="R20" s="12" t="n">
        <f aca="false">Q20-D20</f>
        <v>4.91</v>
      </c>
      <c r="S20" s="13" t="n">
        <f aca="false">IFERROR(R20/Q20,"")</f>
        <v>0.662618083670715</v>
      </c>
    </row>
    <row r="21" customFormat="false" ht="15" hidden="false" customHeight="false" outlineLevel="0" collapsed="false">
      <c r="A21" s="6" t="s">
        <v>43</v>
      </c>
      <c r="B21" s="7" t="s">
        <v>27</v>
      </c>
      <c r="C21" s="6" t="s">
        <v>44</v>
      </c>
      <c r="D21" s="8" t="n">
        <v>3.48</v>
      </c>
      <c r="E21" s="8" t="n">
        <v>27.99</v>
      </c>
      <c r="F21" s="8" t="n">
        <f aca="false">E21-D21</f>
        <v>24.51</v>
      </c>
      <c r="G21" s="9" t="n">
        <f aca="false">IFERROR(F21/E21,"")</f>
        <v>0.87566988210075</v>
      </c>
      <c r="H21" s="8" t="n">
        <v>13.22</v>
      </c>
      <c r="I21" s="8" t="n">
        <f aca="false">H21-D21</f>
        <v>9.74</v>
      </c>
      <c r="J21" s="9" t="n">
        <f aca="false">IFERROR(I21/H21,"")</f>
        <v>0.736762481089259</v>
      </c>
      <c r="K21" s="8" t="n">
        <v>8.37</v>
      </c>
      <c r="L21" s="8" t="n">
        <f aca="false">K21-D21</f>
        <v>4.89</v>
      </c>
      <c r="M21" s="9" t="n">
        <f aca="false">IFERROR(L21/K21,"")</f>
        <v>0.584229390681004</v>
      </c>
      <c r="N21" s="8" t="n">
        <v>6.74</v>
      </c>
      <c r="O21" s="8" t="n">
        <f aca="false">N21-D21</f>
        <v>3.26</v>
      </c>
      <c r="P21" s="9" t="n">
        <f aca="false">IFERROR(O21/N21,"")</f>
        <v>0.483679525222552</v>
      </c>
      <c r="Q21" s="8" t="n">
        <v>5.37</v>
      </c>
      <c r="R21" s="8" t="n">
        <f aca="false">Q21-D21</f>
        <v>1.89</v>
      </c>
      <c r="S21" s="9" t="n">
        <f aca="false">IFERROR(R21/Q21,"")</f>
        <v>0.35195530726257</v>
      </c>
    </row>
    <row r="22" customFormat="false" ht="15" hidden="false" customHeight="false" outlineLevel="0" collapsed="false">
      <c r="A22" s="10" t="s">
        <v>45</v>
      </c>
      <c r="B22" s="11" t="s">
        <v>27</v>
      </c>
      <c r="C22" s="10" t="s">
        <v>46</v>
      </c>
      <c r="D22" s="12" t="n">
        <v>3.74</v>
      </c>
      <c r="E22" s="12" t="n">
        <v>25.47</v>
      </c>
      <c r="F22" s="12" t="n">
        <f aca="false">E22-D22</f>
        <v>21.73</v>
      </c>
      <c r="G22" s="13" t="n">
        <f aca="false">IFERROR(F22/E22,"")</f>
        <v>0.853160581075775</v>
      </c>
      <c r="H22" s="12" t="n">
        <v>12.34</v>
      </c>
      <c r="I22" s="12" t="n">
        <f aca="false">H22-D22</f>
        <v>8.6</v>
      </c>
      <c r="J22" s="13" t="n">
        <f aca="false">IFERROR(I22/H22,"")</f>
        <v>0.696920583468396</v>
      </c>
      <c r="K22" s="12" t="n">
        <v>7.93</v>
      </c>
      <c r="L22" s="12" t="n">
        <f aca="false">K22-D22</f>
        <v>4.19</v>
      </c>
      <c r="M22" s="13" t="n">
        <f aca="false">IFERROR(L22/K22,"")</f>
        <v>0.528373266078184</v>
      </c>
      <c r="N22" s="12" t="n">
        <v>6.74</v>
      </c>
      <c r="O22" s="12" t="n">
        <f aca="false">N22-D22</f>
        <v>3</v>
      </c>
      <c r="P22" s="13" t="n">
        <f aca="false">IFERROR(O22/N22,"")</f>
        <v>0.445103857566766</v>
      </c>
      <c r="Q22" s="12" t="n">
        <v>5.58</v>
      </c>
      <c r="R22" s="12" t="n">
        <f aca="false">Q22-D22</f>
        <v>1.84</v>
      </c>
      <c r="S22" s="13" t="n">
        <f aca="false">IFERROR(R22/Q22,"")</f>
        <v>0.329749103942652</v>
      </c>
    </row>
    <row r="23" customFormat="false" ht="15" hidden="false" customHeight="false" outlineLevel="0" collapsed="false">
      <c r="A23" s="6" t="s">
        <v>45</v>
      </c>
      <c r="B23" s="7" t="s">
        <v>23</v>
      </c>
      <c r="C23" s="6" t="s">
        <v>46</v>
      </c>
      <c r="D23" s="8" t="n">
        <v>4.01</v>
      </c>
      <c r="E23" s="8" t="n">
        <v>27.61</v>
      </c>
      <c r="F23" s="8" t="n">
        <f aca="false">E23-D23</f>
        <v>23.6</v>
      </c>
      <c r="G23" s="9" t="n">
        <f aca="false">IFERROR(F23/E23,"")</f>
        <v>0.854762767113365</v>
      </c>
      <c r="H23" s="8" t="n">
        <v>13.3</v>
      </c>
      <c r="I23" s="8" t="n">
        <f aca="false">H23-D23</f>
        <v>9.29</v>
      </c>
      <c r="J23" s="9" t="n">
        <f aca="false">IFERROR(I23/H23,"")</f>
        <v>0.698496240601504</v>
      </c>
      <c r="K23" s="8" t="n">
        <v>9.46</v>
      </c>
      <c r="L23" s="8" t="n">
        <f aca="false">K23-D23</f>
        <v>5.45</v>
      </c>
      <c r="M23" s="9" t="n">
        <f aca="false">IFERROR(L23/K23,"")</f>
        <v>0.576109936575053</v>
      </c>
      <c r="N23" s="8" t="n">
        <v>7.44</v>
      </c>
      <c r="O23" s="8" t="n">
        <f aca="false">N23-D23</f>
        <v>3.43</v>
      </c>
      <c r="P23" s="9" t="n">
        <f aca="false">IFERROR(O23/N23,"")</f>
        <v>0.461021505376344</v>
      </c>
      <c r="Q23" s="8" t="n">
        <v>6.17</v>
      </c>
      <c r="R23" s="8" t="n">
        <f aca="false">Q23-D23</f>
        <v>2.16</v>
      </c>
      <c r="S23" s="9" t="n">
        <f aca="false">IFERROR(R23/Q23,"")</f>
        <v>0.350081037277148</v>
      </c>
    </row>
    <row r="24" customFormat="false" ht="15" hidden="false" customHeight="false" outlineLevel="0" collapsed="false">
      <c r="A24" s="10" t="s">
        <v>45</v>
      </c>
      <c r="B24" s="11" t="s">
        <v>25</v>
      </c>
      <c r="C24" s="10" t="s">
        <v>46</v>
      </c>
      <c r="D24" s="12" t="n">
        <v>4.42</v>
      </c>
      <c r="E24" s="12" t="n">
        <v>28.58</v>
      </c>
      <c r="F24" s="12" t="n">
        <f aca="false">E24-D24</f>
        <v>24.16</v>
      </c>
      <c r="G24" s="13" t="n">
        <f aca="false">IFERROR(F24/E24,"")</f>
        <v>0.845346396081176</v>
      </c>
      <c r="H24" s="12" t="n">
        <v>18.74</v>
      </c>
      <c r="I24" s="12" t="n">
        <f aca="false">H24-D24</f>
        <v>14.32</v>
      </c>
      <c r="J24" s="13" t="n">
        <f aca="false">IFERROR(I24/H24,"")</f>
        <v>0.764140875133405</v>
      </c>
      <c r="K24" s="12" t="n">
        <v>9.36</v>
      </c>
      <c r="L24" s="12" t="n">
        <f aca="false">K24-D24</f>
        <v>4.94</v>
      </c>
      <c r="M24" s="13" t="n">
        <f aca="false">IFERROR(L24/K24,"")</f>
        <v>0.527777777777778</v>
      </c>
      <c r="N24" s="12" t="n">
        <v>7.83</v>
      </c>
      <c r="O24" s="12" t="n">
        <f aca="false">N24-D24</f>
        <v>3.41</v>
      </c>
      <c r="P24" s="13" t="n">
        <f aca="false">IFERROR(O24/N24,"")</f>
        <v>0.435504469987229</v>
      </c>
      <c r="Q24" s="12" t="n">
        <v>7.49</v>
      </c>
      <c r="R24" s="12" t="n">
        <f aca="false">Q24-D24</f>
        <v>3.07</v>
      </c>
      <c r="S24" s="13" t="n">
        <f aca="false">IFERROR(R24/Q24,"")</f>
        <v>0.409879839786382</v>
      </c>
    </row>
    <row r="25" customFormat="false" ht="15" hidden="false" customHeight="false" outlineLevel="0" collapsed="false">
      <c r="A25" s="6" t="s">
        <v>47</v>
      </c>
      <c r="B25" s="7" t="s">
        <v>27</v>
      </c>
      <c r="C25" s="6" t="s">
        <v>48</v>
      </c>
      <c r="D25" s="8" t="n">
        <v>4.5</v>
      </c>
      <c r="E25" s="8" t="n">
        <v>36.99</v>
      </c>
      <c r="F25" s="8" t="n">
        <f aca="false">E25-D25</f>
        <v>32.49</v>
      </c>
      <c r="G25" s="9" t="n">
        <f aca="false">IFERROR(F25/E25,"")</f>
        <v>0.878345498783455</v>
      </c>
      <c r="H25" s="8" t="n">
        <v>17.63</v>
      </c>
      <c r="I25" s="8" t="n">
        <f aca="false">H25-D25</f>
        <v>13.13</v>
      </c>
      <c r="J25" s="9" t="n">
        <f aca="false">IFERROR(I25/H25,"")</f>
        <v>0.744753261486103</v>
      </c>
      <c r="K25" s="8" t="n">
        <v>9.92</v>
      </c>
      <c r="L25" s="8" t="n">
        <f aca="false">K25-D25</f>
        <v>5.42</v>
      </c>
      <c r="M25" s="9" t="n">
        <f aca="false">IFERROR(L25/K25,"")</f>
        <v>0.546370967741936</v>
      </c>
      <c r="N25" s="8" t="n">
        <v>9.68</v>
      </c>
      <c r="O25" s="8" t="n">
        <f aca="false">N25-D25</f>
        <v>5.18</v>
      </c>
      <c r="P25" s="9" t="n">
        <f aca="false">IFERROR(O25/N25,"")</f>
        <v>0.535123966942149</v>
      </c>
      <c r="Q25" s="8" t="n">
        <v>8.36</v>
      </c>
      <c r="R25" s="8" t="n">
        <f aca="false">Q25-D25</f>
        <v>3.86</v>
      </c>
      <c r="S25" s="9" t="n">
        <f aca="false">IFERROR(R25/Q25,"")</f>
        <v>0.461722488038278</v>
      </c>
    </row>
    <row r="26" customFormat="false" ht="15" hidden="false" customHeight="false" outlineLevel="0" collapsed="false">
      <c r="A26" s="10" t="s">
        <v>49</v>
      </c>
      <c r="B26" s="11" t="s">
        <v>27</v>
      </c>
      <c r="C26" s="10" t="s">
        <v>50</v>
      </c>
      <c r="D26" s="12" t="n">
        <v>4.01</v>
      </c>
      <c r="E26" s="12" t="n">
        <v>28.05</v>
      </c>
      <c r="F26" s="12" t="n">
        <f aca="false">E26-D26</f>
        <v>24.04</v>
      </c>
      <c r="G26" s="13" t="n">
        <f aca="false">IFERROR(F26/E26,"")</f>
        <v>0.857040998217469</v>
      </c>
      <c r="H26" s="12" t="n">
        <v>17.6</v>
      </c>
      <c r="I26" s="12" t="n">
        <f aca="false">H26-D26</f>
        <v>13.59</v>
      </c>
      <c r="J26" s="13" t="n">
        <f aca="false">IFERROR(I26/H26,"")</f>
        <v>0.772159090909091</v>
      </c>
      <c r="K26" s="12" t="n">
        <v>10.7</v>
      </c>
      <c r="L26" s="12" t="n">
        <f aca="false">K26-D26</f>
        <v>6.69</v>
      </c>
      <c r="M26" s="13" t="n">
        <f aca="false">IFERROR(L26/K26,"")</f>
        <v>0.625233644859813</v>
      </c>
      <c r="N26" s="12" t="n">
        <v>9.63</v>
      </c>
      <c r="O26" s="12" t="n">
        <f aca="false">N26-D26</f>
        <v>5.62</v>
      </c>
      <c r="P26" s="13" t="n">
        <f aca="false">IFERROR(O26/N26,"")</f>
        <v>0.583592938733126</v>
      </c>
      <c r="Q26" s="12" t="n">
        <v>9.27</v>
      </c>
      <c r="R26" s="12" t="n">
        <f aca="false">Q26-D26</f>
        <v>5.26</v>
      </c>
      <c r="S26" s="13" t="n">
        <f aca="false">IFERROR(R26/Q26,"")</f>
        <v>0.567421790722762</v>
      </c>
    </row>
    <row r="27" customFormat="false" ht="15" hidden="false" customHeight="false" outlineLevel="0" collapsed="false">
      <c r="A27" s="6" t="s">
        <v>51</v>
      </c>
      <c r="B27" s="7" t="s">
        <v>27</v>
      </c>
      <c r="C27" s="6" t="s">
        <v>52</v>
      </c>
      <c r="D27" s="8" t="n">
        <v>4.03</v>
      </c>
      <c r="E27" s="8" t="n">
        <v>23.94</v>
      </c>
      <c r="F27" s="8" t="n">
        <f aca="false">E27-D27</f>
        <v>19.91</v>
      </c>
      <c r="G27" s="9" t="n">
        <f aca="false">IFERROR(F27/E27,"")</f>
        <v>0.831662489557226</v>
      </c>
      <c r="H27" s="8" t="n">
        <v>15.43</v>
      </c>
      <c r="I27" s="8" t="n">
        <f aca="false">H27-D27</f>
        <v>11.4</v>
      </c>
      <c r="J27" s="9" t="n">
        <f aca="false">IFERROR(I27/H27,"")</f>
        <v>0.738820479585224</v>
      </c>
      <c r="K27" s="8" t="n">
        <v>10.2</v>
      </c>
      <c r="L27" s="8" t="n">
        <f aca="false">K27-D27</f>
        <v>6.17</v>
      </c>
      <c r="M27" s="9" t="n">
        <f aca="false">IFERROR(L27/K27,"")</f>
        <v>0.604901960784314</v>
      </c>
      <c r="N27" s="8" t="n">
        <v>9.57</v>
      </c>
      <c r="O27" s="8" t="n">
        <f aca="false">N27-D27</f>
        <v>5.54</v>
      </c>
      <c r="P27" s="9" t="n">
        <f aca="false">IFERROR(O27/N27,"")</f>
        <v>0.57889237199582</v>
      </c>
      <c r="Q27" s="8" t="n">
        <v>8.58</v>
      </c>
      <c r="R27" s="8" t="n">
        <f aca="false">Q27-D27</f>
        <v>4.55</v>
      </c>
      <c r="S27" s="9" t="n">
        <f aca="false">IFERROR(R27/Q27,"")</f>
        <v>0.53030303030303</v>
      </c>
    </row>
    <row r="28" customFormat="false" ht="15" hidden="false" customHeight="false" outlineLevel="0" collapsed="false">
      <c r="A28" s="10" t="s">
        <v>53</v>
      </c>
      <c r="B28" s="11" t="s">
        <v>27</v>
      </c>
      <c r="C28" s="10" t="s">
        <v>54</v>
      </c>
      <c r="D28" s="12" t="n">
        <v>3.7</v>
      </c>
      <c r="E28" s="12" t="n">
        <v>27.99</v>
      </c>
      <c r="F28" s="12" t="n">
        <f aca="false">E28-D28</f>
        <v>24.29</v>
      </c>
      <c r="G28" s="13" t="n">
        <f aca="false">IFERROR(F28/E28,"")</f>
        <v>0.867809932118614</v>
      </c>
      <c r="H28" s="12" t="n">
        <v>17.5</v>
      </c>
      <c r="I28" s="12" t="n">
        <f aca="false">H28-D28</f>
        <v>13.8</v>
      </c>
      <c r="J28" s="13" t="n">
        <f aca="false">IFERROR(I28/H28,"")</f>
        <v>0.788571428571429</v>
      </c>
      <c r="K28" s="12" t="n">
        <v>10.45</v>
      </c>
      <c r="L28" s="12" t="n">
        <f aca="false">K28-D28</f>
        <v>6.75</v>
      </c>
      <c r="M28" s="13" t="n">
        <f aca="false">IFERROR(L28/K28,"")</f>
        <v>0.645933014354067</v>
      </c>
      <c r="N28" s="12" t="n">
        <v>10.9</v>
      </c>
      <c r="O28" s="12" t="n">
        <f aca="false">N28-D28</f>
        <v>7.2</v>
      </c>
      <c r="P28" s="13" t="n">
        <f aca="false">IFERROR(O28/N28,"")</f>
        <v>0.660550458715596</v>
      </c>
      <c r="Q28" s="12" t="n">
        <v>10.49</v>
      </c>
      <c r="R28" s="12" t="n">
        <f aca="false">Q28-D28</f>
        <v>6.79</v>
      </c>
      <c r="S28" s="13" t="n">
        <f aca="false">IFERROR(R28/Q28,"")</f>
        <v>0.647283126787417</v>
      </c>
    </row>
    <row r="29" customFormat="false" ht="15" hidden="false" customHeight="false" outlineLevel="0" collapsed="false">
      <c r="A29" s="6" t="s">
        <v>55</v>
      </c>
      <c r="B29" s="7" t="s">
        <v>27</v>
      </c>
      <c r="C29" s="6" t="s">
        <v>56</v>
      </c>
      <c r="D29" s="8" t="n">
        <v>3.36</v>
      </c>
      <c r="E29" s="8" t="n">
        <v>25.47</v>
      </c>
      <c r="F29" s="8" t="n">
        <f aca="false">E29-D29</f>
        <v>22.11</v>
      </c>
      <c r="G29" s="9" t="n">
        <f aca="false">IFERROR(F29/E29,"")</f>
        <v>0.868080094228504</v>
      </c>
      <c r="H29" s="8" t="n">
        <v>13</v>
      </c>
      <c r="I29" s="8" t="n">
        <f aca="false">H29-D29</f>
        <v>9.64</v>
      </c>
      <c r="J29" s="9" t="n">
        <f aca="false">IFERROR(I29/H29,"")</f>
        <v>0.741538461538462</v>
      </c>
      <c r="K29" s="8" t="n">
        <v>7.05</v>
      </c>
      <c r="L29" s="8" t="n">
        <f aca="false">K29-D29</f>
        <v>3.69</v>
      </c>
      <c r="M29" s="9" t="n">
        <f aca="false">IFERROR(L29/K29,"")</f>
        <v>0.523404255319149</v>
      </c>
      <c r="N29" s="8" t="n">
        <v>6.74</v>
      </c>
      <c r="O29" s="8" t="n">
        <f aca="false">N29-D29</f>
        <v>3.38</v>
      </c>
      <c r="P29" s="9" t="n">
        <f aca="false">IFERROR(O29/N29,"")</f>
        <v>0.501483679525223</v>
      </c>
      <c r="Q29" s="8" t="n">
        <v>5.17</v>
      </c>
      <c r="R29" s="8" t="n">
        <f aca="false">Q29-D29</f>
        <v>1.81</v>
      </c>
      <c r="S29" s="9" t="n">
        <f aca="false">IFERROR(R29/Q29,"")</f>
        <v>0.35009671179884</v>
      </c>
    </row>
    <row r="30" customFormat="false" ht="15" hidden="false" customHeight="false" outlineLevel="0" collapsed="false">
      <c r="A30" s="10" t="s">
        <v>55</v>
      </c>
      <c r="B30" s="11" t="s">
        <v>23</v>
      </c>
      <c r="C30" s="10" t="s">
        <v>56</v>
      </c>
      <c r="D30" s="12" t="n">
        <v>3.22</v>
      </c>
      <c r="E30" s="12" t="n">
        <v>28.02</v>
      </c>
      <c r="F30" s="12" t="n">
        <f aca="false">E30-D30</f>
        <v>24.8</v>
      </c>
      <c r="G30" s="13" t="n">
        <f aca="false">IFERROR(F30/E30,"")</f>
        <v>0.885082084225553</v>
      </c>
      <c r="H30" s="12" t="n">
        <v>15.5</v>
      </c>
      <c r="I30" s="12" t="n">
        <f aca="false">H30-D30</f>
        <v>12.28</v>
      </c>
      <c r="J30" s="13" t="n">
        <f aca="false">IFERROR(I30/H30,"")</f>
        <v>0.792258064516129</v>
      </c>
      <c r="K30" s="12" t="n">
        <v>8.07</v>
      </c>
      <c r="L30" s="12" t="n">
        <f aca="false">K30-D30</f>
        <v>4.85</v>
      </c>
      <c r="M30" s="13" t="n">
        <f aca="false">IFERROR(L30/K30,"")</f>
        <v>0.600991325898389</v>
      </c>
      <c r="N30" s="12" t="n">
        <v>6.8</v>
      </c>
      <c r="O30" s="12" t="n">
        <f aca="false">N30-D30</f>
        <v>3.58</v>
      </c>
      <c r="P30" s="13" t="n">
        <f aca="false">IFERROR(O30/N30,"")</f>
        <v>0.526470588235294</v>
      </c>
      <c r="Q30" s="12" t="n">
        <v>6.53</v>
      </c>
      <c r="R30" s="12" t="n">
        <f aca="false">Q30-D30</f>
        <v>3.31</v>
      </c>
      <c r="S30" s="13" t="n">
        <f aca="false">IFERROR(R30/Q30,"")</f>
        <v>0.506891271056662</v>
      </c>
    </row>
    <row r="31" customFormat="false" ht="15" hidden="false" customHeight="false" outlineLevel="0" collapsed="false">
      <c r="A31" s="6" t="s">
        <v>55</v>
      </c>
      <c r="B31" s="7" t="s">
        <v>25</v>
      </c>
      <c r="C31" s="6" t="s">
        <v>56</v>
      </c>
      <c r="D31" s="8" t="n">
        <v>3.54</v>
      </c>
      <c r="E31" s="8" t="n">
        <v>28.58</v>
      </c>
      <c r="F31" s="8" t="n">
        <f aca="false">E31-D31</f>
        <v>25.04</v>
      </c>
      <c r="G31" s="9" t="n">
        <f aca="false">IFERROR(F31/E31,"")</f>
        <v>0.876137158852344</v>
      </c>
      <c r="H31" s="8" t="n">
        <v>16.61</v>
      </c>
      <c r="I31" s="8" t="n">
        <f aca="false">H31-D31</f>
        <v>13.07</v>
      </c>
      <c r="J31" s="9" t="n">
        <f aca="false">IFERROR(I31/H31,"")</f>
        <v>0.78687537627935</v>
      </c>
      <c r="K31" s="8" t="n">
        <v>8.93</v>
      </c>
      <c r="L31" s="8" t="n">
        <f aca="false">K31-D31</f>
        <v>5.39</v>
      </c>
      <c r="M31" s="9" t="n">
        <f aca="false">IFERROR(L31/K31,"")</f>
        <v>0.603583426651736</v>
      </c>
      <c r="N31" s="8" t="n">
        <v>6.98</v>
      </c>
      <c r="O31" s="8" t="n">
        <f aca="false">N31-D31</f>
        <v>3.44</v>
      </c>
      <c r="P31" s="9" t="n">
        <f aca="false">IFERROR(O31/N31,"")</f>
        <v>0.492836676217765</v>
      </c>
      <c r="Q31" s="8" t="n">
        <v>6.81</v>
      </c>
      <c r="R31" s="8" t="n">
        <f aca="false">Q31-D31</f>
        <v>3.27</v>
      </c>
      <c r="S31" s="9" t="n">
        <f aca="false">IFERROR(R31/Q31,"")</f>
        <v>0.480176211453744</v>
      </c>
    </row>
    <row r="32" customFormat="false" ht="15" hidden="false" customHeight="false" outlineLevel="0" collapsed="false">
      <c r="A32" s="10" t="s">
        <v>57</v>
      </c>
      <c r="B32" s="11" t="s">
        <v>27</v>
      </c>
      <c r="C32" s="10" t="s">
        <v>58</v>
      </c>
      <c r="D32" s="12" t="n">
        <v>3.62</v>
      </c>
      <c r="E32" s="12" t="n">
        <v>25.47</v>
      </c>
      <c r="F32" s="12" t="n">
        <f aca="false">E32-D32</f>
        <v>21.85</v>
      </c>
      <c r="G32" s="13" t="n">
        <f aca="false">IFERROR(F32/E32,"")</f>
        <v>0.8578720062819</v>
      </c>
      <c r="H32" s="12" t="n">
        <v>13.22</v>
      </c>
      <c r="I32" s="12" t="n">
        <f aca="false">H32-D32</f>
        <v>9.6</v>
      </c>
      <c r="J32" s="13" t="n">
        <f aca="false">IFERROR(I32/H32,"")</f>
        <v>0.726172465960666</v>
      </c>
      <c r="K32" s="12" t="n">
        <v>7.71</v>
      </c>
      <c r="L32" s="12" t="n">
        <f aca="false">K32-D32</f>
        <v>4.09</v>
      </c>
      <c r="M32" s="13" t="n">
        <f aca="false">IFERROR(L32/K32,"")</f>
        <v>0.530479896238651</v>
      </c>
      <c r="N32" s="12" t="n">
        <v>6.74</v>
      </c>
      <c r="O32" s="12" t="n">
        <f aca="false">N32-D32</f>
        <v>3.12</v>
      </c>
      <c r="P32" s="13" t="n">
        <f aca="false">IFERROR(O32/N32,"")</f>
        <v>0.462908011869436</v>
      </c>
      <c r="Q32" s="12" t="n">
        <v>6.61</v>
      </c>
      <c r="R32" s="12" t="n">
        <f aca="false">Q32-D32</f>
        <v>2.99</v>
      </c>
      <c r="S32" s="13" t="n">
        <f aca="false">IFERROR(R32/Q32,"")</f>
        <v>0.452344931921331</v>
      </c>
    </row>
    <row r="33" customFormat="false" ht="15" hidden="false" customHeight="false" outlineLevel="0" collapsed="false">
      <c r="A33" s="6" t="s">
        <v>59</v>
      </c>
      <c r="B33" s="7" t="s">
        <v>27</v>
      </c>
      <c r="C33" s="6" t="s">
        <v>60</v>
      </c>
      <c r="D33" s="8" t="n">
        <v>3.74</v>
      </c>
      <c r="E33" s="8" t="n">
        <v>25.47</v>
      </c>
      <c r="F33" s="8" t="n">
        <f aca="false">E33-D33</f>
        <v>21.73</v>
      </c>
      <c r="G33" s="9" t="n">
        <f aca="false">IFERROR(F33/E33,"")</f>
        <v>0.853160581075775</v>
      </c>
      <c r="H33" s="8" t="n">
        <v>13.09</v>
      </c>
      <c r="I33" s="8" t="n">
        <f aca="false">H33-D33</f>
        <v>9.35</v>
      </c>
      <c r="J33" s="9" t="n">
        <f aca="false">IFERROR(I33/H33,"")</f>
        <v>0.714285714285714</v>
      </c>
      <c r="K33" s="8" t="n">
        <v>7.71</v>
      </c>
      <c r="L33" s="8" t="n">
        <f aca="false">K33-D33</f>
        <v>3.97</v>
      </c>
      <c r="M33" s="9" t="n">
        <f aca="false">IFERROR(L33/K33,"")</f>
        <v>0.514915693904021</v>
      </c>
      <c r="N33" s="8" t="n">
        <v>6.74</v>
      </c>
      <c r="O33" s="8" t="n">
        <f aca="false">N33-D33</f>
        <v>3</v>
      </c>
      <c r="P33" s="9" t="n">
        <f aca="false">IFERROR(O33/N33,"")</f>
        <v>0.445103857566766</v>
      </c>
      <c r="Q33" s="8" t="n">
        <v>5.61</v>
      </c>
      <c r="R33" s="8" t="n">
        <f aca="false">Q33-D33</f>
        <v>1.87</v>
      </c>
      <c r="S33" s="9" t="n">
        <f aca="false">IFERROR(R33/Q33,"")</f>
        <v>0.333333333333333</v>
      </c>
    </row>
    <row r="34" customFormat="false" ht="15" hidden="false" customHeight="false" outlineLevel="0" collapsed="false">
      <c r="A34" s="10" t="s">
        <v>59</v>
      </c>
      <c r="B34" s="11" t="s">
        <v>23</v>
      </c>
      <c r="C34" s="10" t="s">
        <v>60</v>
      </c>
      <c r="D34" s="12" t="n">
        <v>3.92</v>
      </c>
      <c r="E34" s="12" t="n">
        <v>28.02</v>
      </c>
      <c r="F34" s="12" t="n">
        <f aca="false">E34-D34</f>
        <v>24.1</v>
      </c>
      <c r="G34" s="13" t="n">
        <f aca="false">IFERROR(F34/E34,"")</f>
        <v>0.860099928622413</v>
      </c>
      <c r="H34" s="12" t="n">
        <v>14.99</v>
      </c>
      <c r="I34" s="12" t="n">
        <f aca="false">H34-D34</f>
        <v>11.07</v>
      </c>
      <c r="J34" s="13" t="n">
        <f aca="false">IFERROR(I34/H34,"")</f>
        <v>0.738492328218813</v>
      </c>
      <c r="K34" s="12" t="n">
        <v>7.64</v>
      </c>
      <c r="L34" s="12" t="n">
        <f aca="false">K34-D34</f>
        <v>3.72</v>
      </c>
      <c r="M34" s="13" t="n">
        <f aca="false">IFERROR(L34/K34,"")</f>
        <v>0.486910994764398</v>
      </c>
      <c r="N34" s="12" t="n">
        <v>6.37</v>
      </c>
      <c r="O34" s="12" t="n">
        <f aca="false">N34-D34</f>
        <v>2.45</v>
      </c>
      <c r="P34" s="13" t="n">
        <f aca="false">IFERROR(O34/N34,"")</f>
        <v>0.384615384615385</v>
      </c>
      <c r="Q34" s="12" t="n">
        <v>6.53</v>
      </c>
      <c r="R34" s="12" t="n">
        <f aca="false">Q34-D34</f>
        <v>2.61</v>
      </c>
      <c r="S34" s="13" t="n">
        <f aca="false">IFERROR(R34/Q34,"")</f>
        <v>0.399693721286371</v>
      </c>
    </row>
    <row r="35" customFormat="false" ht="15" hidden="false" customHeight="false" outlineLevel="0" collapsed="false">
      <c r="A35" s="6" t="s">
        <v>59</v>
      </c>
      <c r="B35" s="7" t="s">
        <v>25</v>
      </c>
      <c r="C35" s="6" t="s">
        <v>60</v>
      </c>
      <c r="D35" s="8" t="n">
        <v>4.32</v>
      </c>
      <c r="E35" s="8" t="n">
        <v>28.58</v>
      </c>
      <c r="F35" s="8" t="n">
        <f aca="false">E35-D35</f>
        <v>24.26</v>
      </c>
      <c r="G35" s="9" t="n">
        <f aca="false">IFERROR(F35/E35,"")</f>
        <v>0.848845346396081</v>
      </c>
      <c r="H35" s="8" t="n">
        <v>14.87</v>
      </c>
      <c r="I35" s="8" t="n">
        <f aca="false">H35-D35</f>
        <v>10.55</v>
      </c>
      <c r="J35" s="9" t="n">
        <f aca="false">IFERROR(I35/H35,"")</f>
        <v>0.709482178883658</v>
      </c>
      <c r="K35" s="8" t="n">
        <v>8.34</v>
      </c>
      <c r="L35" s="8" t="n">
        <f aca="false">K35-D35</f>
        <v>4.02</v>
      </c>
      <c r="M35" s="9" t="n">
        <f aca="false">IFERROR(L35/K35,"")</f>
        <v>0.482014388489209</v>
      </c>
      <c r="N35" s="8" t="n">
        <v>6.03</v>
      </c>
      <c r="O35" s="8" t="n">
        <f aca="false">N35-D35</f>
        <v>1.71</v>
      </c>
      <c r="P35" s="9" t="n">
        <f aca="false">IFERROR(O35/N35,"")</f>
        <v>0.283582089552239</v>
      </c>
      <c r="Q35" s="8" t="n">
        <v>6.18</v>
      </c>
      <c r="R35" s="8" t="n">
        <f aca="false">Q35-D35</f>
        <v>1.86</v>
      </c>
      <c r="S35" s="9" t="n">
        <f aca="false">IFERROR(R35/Q35,"")</f>
        <v>0.300970873786408</v>
      </c>
    </row>
    <row r="36" customFormat="false" ht="15" hidden="false" customHeight="false" outlineLevel="0" collapsed="false">
      <c r="A36" s="10" t="s">
        <v>61</v>
      </c>
      <c r="B36" s="11" t="s">
        <v>27</v>
      </c>
      <c r="C36" s="10" t="s">
        <v>62</v>
      </c>
      <c r="D36" s="12" t="n">
        <v>3.91</v>
      </c>
      <c r="E36" s="12" t="n">
        <v>28.5</v>
      </c>
      <c r="F36" s="12" t="n">
        <f aca="false">E36-D36</f>
        <v>24.59</v>
      </c>
      <c r="G36" s="13" t="n">
        <f aca="false">IFERROR(F36/E36,"")</f>
        <v>0.86280701754386</v>
      </c>
      <c r="H36" s="12" t="n">
        <v>17.9</v>
      </c>
      <c r="I36" s="12" t="n">
        <f aca="false">H36-D36</f>
        <v>13.99</v>
      </c>
      <c r="J36" s="13" t="n">
        <f aca="false">IFERROR(I36/H36,"")</f>
        <v>0.781564245810056</v>
      </c>
      <c r="K36" s="12" t="n">
        <v>11.63</v>
      </c>
      <c r="L36" s="12" t="n">
        <f aca="false">K36-D36</f>
        <v>7.72</v>
      </c>
      <c r="M36" s="13" t="n">
        <f aca="false">IFERROR(L36/K36,"")</f>
        <v>0.663800515907137</v>
      </c>
      <c r="N36" s="12" t="n">
        <v>9.87</v>
      </c>
      <c r="O36" s="12" t="n">
        <f aca="false">N36-D36</f>
        <v>5.96</v>
      </c>
      <c r="P36" s="13" t="n">
        <f aca="false">IFERROR(O36/N36,"")</f>
        <v>0.603850050658561</v>
      </c>
      <c r="Q36" s="12" t="n">
        <v>9.51</v>
      </c>
      <c r="R36" s="12" t="n">
        <f aca="false">Q36-D36</f>
        <v>5.6</v>
      </c>
      <c r="S36" s="13" t="n">
        <f aca="false">IFERROR(R36/Q36,"")</f>
        <v>0.588853838065195</v>
      </c>
    </row>
    <row r="37" customFormat="false" ht="15" hidden="false" customHeight="false" outlineLevel="0" collapsed="false">
      <c r="A37" s="6" t="s">
        <v>63</v>
      </c>
      <c r="B37" s="7" t="s">
        <v>27</v>
      </c>
      <c r="C37" s="6" t="s">
        <v>64</v>
      </c>
      <c r="D37" s="8" t="n">
        <v>3.91</v>
      </c>
      <c r="E37" s="8" t="n">
        <v>25.47</v>
      </c>
      <c r="F37" s="8" t="n">
        <f aca="false">E37-D37</f>
        <v>21.56</v>
      </c>
      <c r="G37" s="9" t="n">
        <f aca="false">IFERROR(F37/E37,"")</f>
        <v>0.846486062033765</v>
      </c>
      <c r="H37" s="8" t="n">
        <v>13.09</v>
      </c>
      <c r="I37" s="8" t="n">
        <f aca="false">H37-D37</f>
        <v>9.18</v>
      </c>
      <c r="J37" s="9" t="n">
        <f aca="false">IFERROR(I37/H37,"")</f>
        <v>0.701298701298701</v>
      </c>
      <c r="K37" s="8" t="n">
        <v>7.71</v>
      </c>
      <c r="L37" s="8" t="n">
        <f aca="false">K37-D37</f>
        <v>3.8</v>
      </c>
      <c r="M37" s="9" t="n">
        <f aca="false">IFERROR(L37/K37,"")</f>
        <v>0.492866407263294</v>
      </c>
      <c r="N37" s="8" t="n">
        <v>5.88</v>
      </c>
      <c r="O37" s="8" t="n">
        <f aca="false">N37-D37</f>
        <v>1.97</v>
      </c>
      <c r="P37" s="9" t="n">
        <f aca="false">IFERROR(O37/N37,"")</f>
        <v>0.335034013605442</v>
      </c>
      <c r="Q37" s="8" t="n">
        <v>5.67</v>
      </c>
      <c r="R37" s="8" t="n">
        <f aca="false">Q37-D37</f>
        <v>1.76</v>
      </c>
      <c r="S37" s="9" t="n">
        <f aca="false">IFERROR(R37/Q37,"")</f>
        <v>0.310405643738977</v>
      </c>
    </row>
    <row r="38" customFormat="false" ht="15" hidden="false" customHeight="false" outlineLevel="0" collapsed="false">
      <c r="A38" s="10" t="s">
        <v>63</v>
      </c>
      <c r="B38" s="11" t="s">
        <v>23</v>
      </c>
      <c r="C38" s="10" t="s">
        <v>64</v>
      </c>
      <c r="D38" s="12" t="n">
        <v>4.27</v>
      </c>
      <c r="E38" s="12" t="n">
        <v>30</v>
      </c>
      <c r="F38" s="12" t="n">
        <f aca="false">E38-D38</f>
        <v>25.73</v>
      </c>
      <c r="G38" s="13" t="n">
        <f aca="false">IFERROR(F38/E38,"")</f>
        <v>0.857666666666667</v>
      </c>
      <c r="H38" s="12" t="n">
        <v>17.5</v>
      </c>
      <c r="I38" s="12" t="n">
        <f aca="false">H38-D38</f>
        <v>13.23</v>
      </c>
      <c r="J38" s="13" t="n">
        <f aca="false">IFERROR(I38/H38,"")</f>
        <v>0.756</v>
      </c>
      <c r="K38" s="12" t="n">
        <v>7.64</v>
      </c>
      <c r="L38" s="12" t="n">
        <f aca="false">K38-D38</f>
        <v>3.37</v>
      </c>
      <c r="M38" s="13" t="n">
        <f aca="false">IFERROR(L38/K38,"")</f>
        <v>0.441099476439791</v>
      </c>
      <c r="N38" s="12" t="n">
        <v>6.37</v>
      </c>
      <c r="O38" s="12" t="n">
        <f aca="false">N38-D38</f>
        <v>2.1</v>
      </c>
      <c r="P38" s="13" t="n">
        <f aca="false">IFERROR(O38/N38,"")</f>
        <v>0.32967032967033</v>
      </c>
      <c r="Q38" s="12" t="n">
        <v>6.46</v>
      </c>
      <c r="R38" s="12" t="n">
        <f aca="false">Q38-D38</f>
        <v>2.19</v>
      </c>
      <c r="S38" s="13" t="n">
        <f aca="false">IFERROR(R38/Q38,"")</f>
        <v>0.339009287925697</v>
      </c>
    </row>
    <row r="39" customFormat="false" ht="15" hidden="false" customHeight="false" outlineLevel="0" collapsed="false">
      <c r="A39" s="6" t="s">
        <v>63</v>
      </c>
      <c r="B39" s="7" t="s">
        <v>25</v>
      </c>
      <c r="C39" s="6" t="s">
        <v>64</v>
      </c>
      <c r="D39" s="8" t="n">
        <v>4.69</v>
      </c>
      <c r="E39" s="8" t="n">
        <v>31.77</v>
      </c>
      <c r="F39" s="8" t="n">
        <f aca="false">E39-D39</f>
        <v>27.08</v>
      </c>
      <c r="G39" s="9" t="n">
        <f aca="false">IFERROR(F39/E39,"")</f>
        <v>0.852376455775889</v>
      </c>
      <c r="H39" s="8" t="n">
        <v>18.74</v>
      </c>
      <c r="I39" s="8" t="n">
        <f aca="false">H39-D39</f>
        <v>14.05</v>
      </c>
      <c r="J39" s="9" t="n">
        <f aca="false">IFERROR(I39/H39,"")</f>
        <v>0.749733191035219</v>
      </c>
      <c r="K39" s="8" t="n">
        <v>9.36</v>
      </c>
      <c r="L39" s="8" t="n">
        <f aca="false">K39-D39</f>
        <v>4.67</v>
      </c>
      <c r="M39" s="9" t="n">
        <f aca="false">IFERROR(L39/K39,"")</f>
        <v>0.498931623931624</v>
      </c>
      <c r="N39" s="8" t="n">
        <v>7.22</v>
      </c>
      <c r="O39" s="8" t="n">
        <f aca="false">N39-D39</f>
        <v>2.53</v>
      </c>
      <c r="P39" s="9" t="n">
        <f aca="false">IFERROR(O39/N39,"")</f>
        <v>0.350415512465374</v>
      </c>
      <c r="Q39" s="8" t="n">
        <v>6.98</v>
      </c>
      <c r="R39" s="8" t="n">
        <f aca="false">Q39-D39</f>
        <v>2.29</v>
      </c>
      <c r="S39" s="9" t="n">
        <f aca="false">IFERROR(R39/Q39,"")</f>
        <v>0.328080229226361</v>
      </c>
    </row>
    <row r="40" customFormat="false" ht="15" hidden="false" customHeight="false" outlineLevel="0" collapsed="false">
      <c r="A40" s="10" t="s">
        <v>65</v>
      </c>
      <c r="B40" s="11" t="s">
        <v>27</v>
      </c>
      <c r="C40" s="10" t="s">
        <v>66</v>
      </c>
      <c r="D40" s="12" t="n">
        <v>4.33</v>
      </c>
      <c r="E40" s="12" t="n">
        <v>25.47</v>
      </c>
      <c r="F40" s="12" t="n">
        <f aca="false">E40-D40</f>
        <v>21.14</v>
      </c>
      <c r="G40" s="13" t="n">
        <f aca="false">IFERROR(F40/E40,"")</f>
        <v>0.829996073812328</v>
      </c>
      <c r="H40" s="12" t="n">
        <v>14.49</v>
      </c>
      <c r="I40" s="12" t="n">
        <f aca="false">H40-D40</f>
        <v>10.16</v>
      </c>
      <c r="J40" s="13" t="n">
        <f aca="false">IFERROR(I40/H40,"")</f>
        <v>0.701173222912353</v>
      </c>
      <c r="K40" s="12" t="n">
        <v>7.71</v>
      </c>
      <c r="L40" s="12" t="n">
        <f aca="false">K40-D40</f>
        <v>3.38</v>
      </c>
      <c r="M40" s="13" t="n">
        <f aca="false">IFERROR(L40/K40,"")</f>
        <v>0.438391699092088</v>
      </c>
      <c r="N40" s="12" t="n">
        <v>6.74</v>
      </c>
      <c r="O40" s="12" t="n">
        <f aca="false">N40-D40</f>
        <v>2.41</v>
      </c>
      <c r="P40" s="13" t="n">
        <f aca="false">IFERROR(O40/N40,"")</f>
        <v>0.357566765578635</v>
      </c>
      <c r="Q40" s="12" t="n">
        <v>5.95</v>
      </c>
      <c r="R40" s="12" t="n">
        <f aca="false">Q40-D40</f>
        <v>1.62</v>
      </c>
      <c r="S40" s="13" t="n">
        <f aca="false">IFERROR(R40/Q40,"")</f>
        <v>0.272268907563025</v>
      </c>
    </row>
    <row r="41" customFormat="false" ht="15" hidden="false" customHeight="false" outlineLevel="0" collapsed="false">
      <c r="A41" s="6" t="s">
        <v>67</v>
      </c>
      <c r="B41" s="7" t="s">
        <v>27</v>
      </c>
      <c r="C41" s="6" t="s">
        <v>68</v>
      </c>
      <c r="D41" s="8" t="n">
        <v>4.78</v>
      </c>
      <c r="E41" s="8" t="n">
        <v>27.99</v>
      </c>
      <c r="F41" s="8" t="n">
        <f aca="false">E41-D41</f>
        <v>23.21</v>
      </c>
      <c r="G41" s="9" t="n">
        <f aca="false">IFERROR(F41/E41,"")</f>
        <v>0.829224723115398</v>
      </c>
      <c r="H41" s="8" t="n">
        <v>16.99</v>
      </c>
      <c r="I41" s="8" t="n">
        <f aca="false">H41-D41</f>
        <v>12.21</v>
      </c>
      <c r="J41" s="9" t="n">
        <f aca="false">IFERROR(I41/H41,"")</f>
        <v>0.718658034137728</v>
      </c>
      <c r="K41" s="8" t="n">
        <v>8.81</v>
      </c>
      <c r="L41" s="8" t="n">
        <f aca="false">K41-D41</f>
        <v>4.03</v>
      </c>
      <c r="M41" s="9" t="n">
        <f aca="false">IFERROR(L41/K41,"")</f>
        <v>0.457434733257662</v>
      </c>
      <c r="N41" s="8" t="n">
        <v>6.74</v>
      </c>
      <c r="O41" s="8" t="n">
        <f aca="false">N41-D41</f>
        <v>1.96</v>
      </c>
      <c r="P41" s="9" t="n">
        <f aca="false">IFERROR(O41/N41,"")</f>
        <v>0.29080118694362</v>
      </c>
      <c r="Q41" s="8" t="n">
        <v>7.09</v>
      </c>
      <c r="R41" s="8" t="n">
        <f aca="false">Q41-D41</f>
        <v>2.31</v>
      </c>
      <c r="S41" s="9" t="n">
        <f aca="false">IFERROR(R41/Q41,"")</f>
        <v>0.325811001410437</v>
      </c>
    </row>
    <row r="42" customFormat="false" ht="15" hidden="false" customHeight="false" outlineLevel="0" collapsed="false">
      <c r="A42" s="10" t="s">
        <v>67</v>
      </c>
      <c r="B42" s="11" t="s">
        <v>23</v>
      </c>
      <c r="C42" s="10" t="s">
        <v>68</v>
      </c>
      <c r="D42" s="12" t="n">
        <v>5.2</v>
      </c>
      <c r="E42" s="12" t="n">
        <v>30.08</v>
      </c>
      <c r="F42" s="12" t="n">
        <f aca="false">E42-D42</f>
        <v>24.88</v>
      </c>
      <c r="G42" s="13" t="n">
        <f aca="false">IFERROR(F42/E42,"")</f>
        <v>0.827127659574468</v>
      </c>
      <c r="H42" s="12" t="n">
        <v>16.91</v>
      </c>
      <c r="I42" s="12" t="n">
        <f aca="false">H42-D42</f>
        <v>11.71</v>
      </c>
      <c r="J42" s="13" t="n">
        <f aca="false">IFERROR(I42/H42,"")</f>
        <v>0.692489651094027</v>
      </c>
      <c r="K42" s="12" t="n">
        <v>10.93</v>
      </c>
      <c r="L42" s="12" t="n">
        <f aca="false">K42-D42</f>
        <v>5.73</v>
      </c>
      <c r="M42" s="13" t="n">
        <f aca="false">IFERROR(L42/K42,"")</f>
        <v>0.524245196706313</v>
      </c>
      <c r="N42" s="12" t="n">
        <v>9.1</v>
      </c>
      <c r="O42" s="12" t="n">
        <f aca="false">N42-D42</f>
        <v>3.9</v>
      </c>
      <c r="P42" s="13" t="n">
        <f aca="false">IFERROR(O42/N42,"")</f>
        <v>0.428571428571429</v>
      </c>
      <c r="Q42" s="12" t="n">
        <v>8.67</v>
      </c>
      <c r="R42" s="12" t="n">
        <f aca="false">Q42-D42</f>
        <v>3.47</v>
      </c>
      <c r="S42" s="13" t="n">
        <f aca="false">IFERROR(R42/Q42,"")</f>
        <v>0.400230680507497</v>
      </c>
    </row>
    <row r="43" customFormat="false" ht="15" hidden="false" customHeight="false" outlineLevel="0" collapsed="false">
      <c r="A43" s="6" t="s">
        <v>67</v>
      </c>
      <c r="B43" s="7" t="s">
        <v>25</v>
      </c>
      <c r="C43" s="6" t="s">
        <v>68</v>
      </c>
      <c r="D43" s="8" t="n">
        <v>5.72</v>
      </c>
      <c r="E43" s="8" t="n">
        <v>33.89</v>
      </c>
      <c r="F43" s="8" t="n">
        <f aca="false">E43-D43</f>
        <v>28.17</v>
      </c>
      <c r="G43" s="9" t="n">
        <f aca="false">IFERROR(F43/E43,"")</f>
        <v>0.831218648568899</v>
      </c>
      <c r="H43" s="8" t="n">
        <v>19.27</v>
      </c>
      <c r="I43" s="8" t="n">
        <f aca="false">H43-D43</f>
        <v>13.55</v>
      </c>
      <c r="J43" s="9" t="n">
        <f aca="false">IFERROR(I43/H43,"")</f>
        <v>0.703165542293721</v>
      </c>
      <c r="K43" s="8" t="n">
        <v>12.65</v>
      </c>
      <c r="L43" s="8" t="n">
        <f aca="false">K43-D43</f>
        <v>6.93</v>
      </c>
      <c r="M43" s="9" t="n">
        <f aca="false">IFERROR(L43/K43,"")</f>
        <v>0.547826086956522</v>
      </c>
      <c r="N43" s="8" t="n">
        <v>11.45</v>
      </c>
      <c r="O43" s="8" t="n">
        <f aca="false">N43-D43</f>
        <v>5.73</v>
      </c>
      <c r="P43" s="9" t="n">
        <f aca="false">IFERROR(O43/N43,"")</f>
        <v>0.500436681222708</v>
      </c>
      <c r="Q43" s="8" t="n">
        <v>8.7</v>
      </c>
      <c r="R43" s="8" t="n">
        <f aca="false">Q43-D43</f>
        <v>2.98</v>
      </c>
      <c r="S43" s="9" t="n">
        <f aca="false">IFERROR(R43/Q43,"")</f>
        <v>0.342528735632184</v>
      </c>
    </row>
    <row r="44" customFormat="false" ht="15" hidden="false" customHeight="false" outlineLevel="0" collapsed="false">
      <c r="A44" s="10" t="s">
        <v>69</v>
      </c>
      <c r="B44" s="11" t="s">
        <v>27</v>
      </c>
      <c r="C44" s="10" t="s">
        <v>70</v>
      </c>
      <c r="D44" s="12" t="n">
        <v>3.68</v>
      </c>
      <c r="E44" s="12" t="n">
        <v>27.99</v>
      </c>
      <c r="F44" s="12" t="n">
        <f aca="false">E44-D44</f>
        <v>24.31</v>
      </c>
      <c r="G44" s="13" t="n">
        <f aca="false">IFERROR(F44/E44,"")</f>
        <v>0.868524473026081</v>
      </c>
      <c r="H44" s="12" t="n">
        <v>16.31</v>
      </c>
      <c r="I44" s="12" t="n">
        <f aca="false">H44-D44</f>
        <v>12.63</v>
      </c>
      <c r="J44" s="13" t="n">
        <f aca="false">IFERROR(I44/H44,"")</f>
        <v>0.774371551195586</v>
      </c>
      <c r="K44" s="12" t="n">
        <v>10.79</v>
      </c>
      <c r="L44" s="12" t="n">
        <f aca="false">K44-D44</f>
        <v>7.11</v>
      </c>
      <c r="M44" s="13" t="n">
        <f aca="false">IFERROR(L44/K44,"")</f>
        <v>0.658943466172382</v>
      </c>
      <c r="N44" s="12" t="n">
        <v>8.79</v>
      </c>
      <c r="O44" s="12" t="n">
        <f aca="false">N44-D44</f>
        <v>5.11</v>
      </c>
      <c r="P44" s="13" t="n">
        <f aca="false">IFERROR(O44/N44,"")</f>
        <v>0.581342434584755</v>
      </c>
      <c r="Q44" s="12" t="n">
        <v>7.41</v>
      </c>
      <c r="R44" s="12" t="n">
        <f aca="false">Q44-D44</f>
        <v>3.73</v>
      </c>
      <c r="S44" s="13" t="n">
        <f aca="false">IFERROR(R44/Q44,"")</f>
        <v>0.503373819163293</v>
      </c>
    </row>
    <row r="45" customFormat="false" ht="15" hidden="false" customHeight="false" outlineLevel="0" collapsed="false">
      <c r="A45" s="6" t="s">
        <v>71</v>
      </c>
      <c r="B45" s="7" t="s">
        <v>27</v>
      </c>
      <c r="C45" s="6" t="s">
        <v>72</v>
      </c>
      <c r="D45" s="8" t="n">
        <v>3.91</v>
      </c>
      <c r="E45" s="8" t="n">
        <v>27.99</v>
      </c>
      <c r="F45" s="8" t="n">
        <f aca="false">E45-D45</f>
        <v>24.08</v>
      </c>
      <c r="G45" s="9" t="n">
        <f aca="false">IFERROR(F45/E45,"")</f>
        <v>0.860307252590211</v>
      </c>
      <c r="H45" s="8" t="n">
        <v>16.5</v>
      </c>
      <c r="I45" s="8" t="n">
        <f aca="false">H45-D45</f>
        <v>12.59</v>
      </c>
      <c r="J45" s="9" t="n">
        <f aca="false">IFERROR(I45/H45,"")</f>
        <v>0.763030303030303</v>
      </c>
      <c r="K45" s="8" t="n">
        <v>9.69</v>
      </c>
      <c r="L45" s="8" t="n">
        <f aca="false">K45-D45</f>
        <v>5.78</v>
      </c>
      <c r="M45" s="9" t="n">
        <f aca="false">IFERROR(L45/K45,"")</f>
        <v>0.596491228070175</v>
      </c>
      <c r="N45" s="8" t="n">
        <v>7.43</v>
      </c>
      <c r="O45" s="8" t="n">
        <f aca="false">N45-D45</f>
        <v>3.52</v>
      </c>
      <c r="P45" s="9" t="n">
        <f aca="false">IFERROR(O45/N45,"")</f>
        <v>0.473755047106326</v>
      </c>
      <c r="Q45" s="8" t="n">
        <v>6.46</v>
      </c>
      <c r="R45" s="8" t="n">
        <f aca="false">Q45-D45</f>
        <v>2.55</v>
      </c>
      <c r="S45" s="9" t="n">
        <f aca="false">IFERROR(R45/Q45,"")</f>
        <v>0.394736842105263</v>
      </c>
    </row>
    <row r="46" customFormat="false" ht="15" hidden="false" customHeight="false" outlineLevel="0" collapsed="false">
      <c r="A46" s="10" t="s">
        <v>73</v>
      </c>
      <c r="B46" s="11" t="s">
        <v>27</v>
      </c>
      <c r="C46" s="10" t="s">
        <v>74</v>
      </c>
      <c r="D46" s="12" t="n">
        <v>3.95</v>
      </c>
      <c r="E46" s="12" t="n">
        <v>34.76</v>
      </c>
      <c r="F46" s="12" t="n">
        <f aca="false">E46-D46</f>
        <v>30.81</v>
      </c>
      <c r="G46" s="13" t="n">
        <f aca="false">IFERROR(F46/E46,"")</f>
        <v>0.886363636363636</v>
      </c>
      <c r="H46" s="12" t="n">
        <v>22.28</v>
      </c>
      <c r="I46" s="12" t="n">
        <f aca="false">H46-D46</f>
        <v>18.33</v>
      </c>
      <c r="J46" s="13" t="n">
        <f aca="false">IFERROR(I46/H46,"")</f>
        <v>0.822710951526032</v>
      </c>
      <c r="K46" s="12" t="n">
        <v>14.73</v>
      </c>
      <c r="L46" s="12" t="n">
        <f aca="false">K46-D46</f>
        <v>10.78</v>
      </c>
      <c r="M46" s="13" t="n">
        <f aca="false">IFERROR(L46/K46,"")</f>
        <v>0.73183978275628</v>
      </c>
      <c r="N46" s="12" t="n">
        <v>13.26</v>
      </c>
      <c r="O46" s="12" t="n">
        <f aca="false">N46-D46</f>
        <v>9.31</v>
      </c>
      <c r="P46" s="13" t="n">
        <f aca="false">IFERROR(O46/N46,"")</f>
        <v>0.70211161387632</v>
      </c>
      <c r="Q46" s="12" t="n">
        <v>12.77</v>
      </c>
      <c r="R46" s="12" t="n">
        <f aca="false">Q46-D46</f>
        <v>8.82</v>
      </c>
      <c r="S46" s="13" t="n">
        <f aca="false">IFERROR(R46/Q46,"")</f>
        <v>0.690681284259984</v>
      </c>
    </row>
    <row r="47" customFormat="false" ht="15" hidden="false" customHeight="false" outlineLevel="0" collapsed="false">
      <c r="A47" s="6" t="s">
        <v>75</v>
      </c>
      <c r="B47" s="7" t="s">
        <v>27</v>
      </c>
      <c r="C47" s="6" t="s">
        <v>76</v>
      </c>
      <c r="D47" s="8" t="n">
        <v>3.62</v>
      </c>
      <c r="E47" s="8" t="n">
        <v>25.47</v>
      </c>
      <c r="F47" s="8" t="n">
        <f aca="false">E47-D47</f>
        <v>21.85</v>
      </c>
      <c r="G47" s="9" t="n">
        <f aca="false">IFERROR(F47/E47,"")</f>
        <v>0.8578720062819</v>
      </c>
      <c r="H47" s="8" t="n">
        <v>13.48</v>
      </c>
      <c r="I47" s="8" t="n">
        <f aca="false">H47-D47</f>
        <v>9.86</v>
      </c>
      <c r="J47" s="9" t="n">
        <f aca="false">IFERROR(I47/H47,"")</f>
        <v>0.731454005934718</v>
      </c>
      <c r="K47" s="8" t="n">
        <v>7.71</v>
      </c>
      <c r="L47" s="8" t="n">
        <f aca="false">K47-D47</f>
        <v>4.09</v>
      </c>
      <c r="M47" s="9" t="n">
        <f aca="false">IFERROR(L47/K47,"")</f>
        <v>0.530479896238651</v>
      </c>
      <c r="N47" s="8" t="n">
        <v>6.74</v>
      </c>
      <c r="O47" s="8" t="n">
        <f aca="false">N47-D47</f>
        <v>3.12</v>
      </c>
      <c r="P47" s="9" t="n">
        <f aca="false">IFERROR(O47/N47,"")</f>
        <v>0.462908011869436</v>
      </c>
      <c r="Q47" s="8" t="n">
        <v>5.52</v>
      </c>
      <c r="R47" s="8" t="n">
        <f aca="false">Q47-D47</f>
        <v>1.9</v>
      </c>
      <c r="S47" s="9" t="n">
        <f aca="false">IFERROR(R47/Q47,"")</f>
        <v>0.344202898550725</v>
      </c>
    </row>
    <row r="48" customFormat="false" ht="15" hidden="false" customHeight="false" outlineLevel="0" collapsed="false">
      <c r="A48" s="10" t="s">
        <v>75</v>
      </c>
      <c r="B48" s="11" t="s">
        <v>23</v>
      </c>
      <c r="C48" s="10" t="s">
        <v>76</v>
      </c>
      <c r="D48" s="12" t="n">
        <v>3.8</v>
      </c>
      <c r="E48" s="12" t="n">
        <v>28.02</v>
      </c>
      <c r="F48" s="12" t="n">
        <f aca="false">E48-D48</f>
        <v>24.22</v>
      </c>
      <c r="G48" s="13" t="n">
        <f aca="false">IFERROR(F48/E48,"")</f>
        <v>0.864382583868665</v>
      </c>
      <c r="H48" s="12" t="n">
        <v>16.5</v>
      </c>
      <c r="I48" s="12" t="n">
        <f aca="false">H48-D48</f>
        <v>12.7</v>
      </c>
      <c r="J48" s="13" t="n">
        <f aca="false">IFERROR(I48/H48,"")</f>
        <v>0.76969696969697</v>
      </c>
      <c r="K48" s="12" t="n">
        <v>7.22</v>
      </c>
      <c r="L48" s="12" t="n">
        <f aca="false">K48-D48</f>
        <v>3.42</v>
      </c>
      <c r="M48" s="13" t="n">
        <f aca="false">IFERROR(L48/K48,"")</f>
        <v>0.473684210526316</v>
      </c>
      <c r="N48" s="12" t="n">
        <v>6.74</v>
      </c>
      <c r="O48" s="12" t="n">
        <f aca="false">N48-D48</f>
        <v>2.94</v>
      </c>
      <c r="P48" s="13" t="n">
        <f aca="false">IFERROR(O48/N48,"")</f>
        <v>0.43620178041543</v>
      </c>
      <c r="Q48" s="12" t="n">
        <v>6.56</v>
      </c>
      <c r="R48" s="12" t="n">
        <f aca="false">Q48-D48</f>
        <v>2.76</v>
      </c>
      <c r="S48" s="13" t="n">
        <f aca="false">IFERROR(R48/Q48,"")</f>
        <v>0.420731707317073</v>
      </c>
    </row>
    <row r="49" customFormat="false" ht="15" hidden="false" customHeight="false" outlineLevel="0" collapsed="false">
      <c r="A49" s="6" t="s">
        <v>75</v>
      </c>
      <c r="B49" s="7" t="s">
        <v>25</v>
      </c>
      <c r="C49" s="6" t="s">
        <v>76</v>
      </c>
      <c r="D49" s="8" t="n">
        <v>4.18</v>
      </c>
      <c r="E49" s="8" t="n">
        <v>28.58</v>
      </c>
      <c r="F49" s="8" t="n">
        <f aca="false">E49-D49</f>
        <v>24.4</v>
      </c>
      <c r="G49" s="9" t="n">
        <f aca="false">IFERROR(F49/E49,"")</f>
        <v>0.853743876836949</v>
      </c>
      <c r="H49" s="8" t="n">
        <v>17.67</v>
      </c>
      <c r="I49" s="8" t="n">
        <f aca="false">H49-D49</f>
        <v>13.49</v>
      </c>
      <c r="J49" s="9" t="n">
        <f aca="false">IFERROR(I49/H49,"")</f>
        <v>0.763440860215054</v>
      </c>
      <c r="K49" s="8" t="n">
        <v>8.67</v>
      </c>
      <c r="L49" s="8" t="n">
        <f aca="false">K49-D49</f>
        <v>4.49</v>
      </c>
      <c r="M49" s="9" t="n">
        <f aca="false">IFERROR(L49/K49,"")</f>
        <v>0.517877739331027</v>
      </c>
      <c r="N49" s="8" t="n">
        <v>6.86</v>
      </c>
      <c r="O49" s="8" t="n">
        <f aca="false">N49-D49</f>
        <v>2.68</v>
      </c>
      <c r="P49" s="9" t="n">
        <f aca="false">IFERROR(O49/N49,"")</f>
        <v>0.39067055393586</v>
      </c>
      <c r="Q49" s="8" t="n">
        <v>5.69</v>
      </c>
      <c r="R49" s="8" t="n">
        <f aca="false">Q49-D49</f>
        <v>1.51</v>
      </c>
      <c r="S49" s="9" t="n">
        <f aca="false">IFERROR(R49/Q49,"")</f>
        <v>0.265377855887522</v>
      </c>
    </row>
    <row r="50" customFormat="false" ht="15" hidden="false" customHeight="false" outlineLevel="0" collapsed="false">
      <c r="A50" s="10" t="s">
        <v>77</v>
      </c>
      <c r="B50" s="11" t="s">
        <v>27</v>
      </c>
      <c r="C50" s="10" t="s">
        <v>78</v>
      </c>
      <c r="D50" s="12" t="n">
        <v>3.83</v>
      </c>
      <c r="E50" s="12" t="n">
        <v>30.28</v>
      </c>
      <c r="F50" s="12" t="n">
        <f aca="false">E50-D50</f>
        <v>26.45</v>
      </c>
      <c r="G50" s="13" t="n">
        <f aca="false">IFERROR(F50/E50,"")</f>
        <v>0.873513870541612</v>
      </c>
      <c r="H50" s="12" t="n">
        <v>17.51</v>
      </c>
      <c r="I50" s="12" t="n">
        <f aca="false">H50-D50</f>
        <v>13.68</v>
      </c>
      <c r="J50" s="13" t="n">
        <f aca="false">IFERROR(I50/H50,"")</f>
        <v>0.781267846944603</v>
      </c>
      <c r="K50" s="12" t="n">
        <v>11.04</v>
      </c>
      <c r="L50" s="12" t="n">
        <f aca="false">K50-D50</f>
        <v>7.21</v>
      </c>
      <c r="M50" s="13" t="n">
        <f aca="false">IFERROR(L50/K50,"")</f>
        <v>0.653079710144928</v>
      </c>
      <c r="N50" s="12" t="n">
        <v>9.33</v>
      </c>
      <c r="O50" s="12" t="n">
        <f aca="false">N50-D50</f>
        <v>5.5</v>
      </c>
      <c r="P50" s="13" t="n">
        <f aca="false">IFERROR(O50/N50,"")</f>
        <v>0.589496248660236</v>
      </c>
      <c r="Q50" s="12" t="n">
        <v>7.85</v>
      </c>
      <c r="R50" s="12" t="n">
        <f aca="false">Q50-D50</f>
        <v>4.02</v>
      </c>
      <c r="S50" s="13" t="n">
        <f aca="false">IFERROR(R50/Q50,"")</f>
        <v>0.512101910828026</v>
      </c>
    </row>
    <row r="51" customFormat="false" ht="15" hidden="false" customHeight="false" outlineLevel="0" collapsed="false">
      <c r="A51" s="6" t="s">
        <v>77</v>
      </c>
      <c r="B51" s="7" t="s">
        <v>23</v>
      </c>
      <c r="C51" s="6" t="s">
        <v>78</v>
      </c>
      <c r="D51" s="8" t="n">
        <v>4.28</v>
      </c>
      <c r="E51" s="8" t="n">
        <v>32.89</v>
      </c>
      <c r="F51" s="8" t="n">
        <f aca="false">E51-D51</f>
        <v>28.61</v>
      </c>
      <c r="G51" s="9" t="n">
        <f aca="false">IFERROR(F51/E51,"")</f>
        <v>0.869869261173609</v>
      </c>
      <c r="H51" s="8" t="n">
        <v>20.99</v>
      </c>
      <c r="I51" s="8" t="n">
        <f aca="false">H51-D51</f>
        <v>16.71</v>
      </c>
      <c r="J51" s="9" t="n">
        <f aca="false">IFERROR(I51/H51,"")</f>
        <v>0.796093377798952</v>
      </c>
      <c r="K51" s="8" t="n">
        <v>13.47</v>
      </c>
      <c r="L51" s="8" t="n">
        <f aca="false">K51-D51</f>
        <v>9.19</v>
      </c>
      <c r="M51" s="9" t="n">
        <f aca="false">IFERROR(L51/K51,"")</f>
        <v>0.682256867112101</v>
      </c>
      <c r="N51" s="8" t="n">
        <v>12.12</v>
      </c>
      <c r="O51" s="8" t="n">
        <f aca="false">N51-D51</f>
        <v>7.84</v>
      </c>
      <c r="P51" s="9" t="n">
        <f aca="false">IFERROR(O51/N51,"")</f>
        <v>0.646864686468647</v>
      </c>
      <c r="Q51" s="8" t="n">
        <v>11.68</v>
      </c>
      <c r="R51" s="8" t="n">
        <f aca="false">Q51-D51</f>
        <v>7.4</v>
      </c>
      <c r="S51" s="9" t="n">
        <f aca="false">IFERROR(R51/Q51,"")</f>
        <v>0.633561643835616</v>
      </c>
    </row>
    <row r="52" customFormat="false" ht="15" hidden="false" customHeight="false" outlineLevel="0" collapsed="false">
      <c r="A52" s="10" t="s">
        <v>77</v>
      </c>
      <c r="B52" s="11" t="s">
        <v>25</v>
      </c>
      <c r="C52" s="10" t="s">
        <v>78</v>
      </c>
      <c r="D52" s="12" t="n">
        <v>4.71</v>
      </c>
      <c r="E52" s="12" t="n">
        <v>28.83</v>
      </c>
      <c r="F52" s="12" t="n">
        <f aca="false">E52-D52</f>
        <v>24.12</v>
      </c>
      <c r="G52" s="13" t="n">
        <f aca="false">IFERROR(F52/E52,"")</f>
        <v>0.836628511966701</v>
      </c>
      <c r="H52" s="12" t="n">
        <v>18.53</v>
      </c>
      <c r="I52" s="12" t="n">
        <f aca="false">H52-D52</f>
        <v>13.82</v>
      </c>
      <c r="J52" s="13" t="n">
        <f aca="false">IFERROR(I52/H52,"")</f>
        <v>0.745817593092283</v>
      </c>
      <c r="K52" s="12" t="n">
        <v>12.52</v>
      </c>
      <c r="L52" s="12" t="n">
        <f aca="false">K52-D52</f>
        <v>7.81</v>
      </c>
      <c r="M52" s="13" t="n">
        <f aca="false">IFERROR(L52/K52,"")</f>
        <v>0.623801916932907</v>
      </c>
      <c r="N52" s="12" t="n">
        <v>13.39</v>
      </c>
      <c r="O52" s="12" t="n">
        <f aca="false">N52-D52</f>
        <v>8.68</v>
      </c>
      <c r="P52" s="13" t="n">
        <f aca="false">IFERROR(O52/N52,"")</f>
        <v>0.648244958924571</v>
      </c>
      <c r="Q52" s="12" t="n">
        <v>13.46</v>
      </c>
      <c r="R52" s="12" t="n">
        <f aca="false">Q52-D52</f>
        <v>8.75</v>
      </c>
      <c r="S52" s="13" t="n">
        <f aca="false">IFERROR(R52/Q52,"")</f>
        <v>0.650074294205052</v>
      </c>
    </row>
    <row r="53" customFormat="false" ht="15" hidden="false" customHeight="false" outlineLevel="0" collapsed="false">
      <c r="A53" s="6" t="s">
        <v>79</v>
      </c>
      <c r="B53" s="7" t="s">
        <v>27</v>
      </c>
      <c r="C53" s="6" t="s">
        <v>80</v>
      </c>
      <c r="D53" s="8" t="n">
        <v>3.76</v>
      </c>
      <c r="E53" s="8" t="n">
        <v>25.47</v>
      </c>
      <c r="F53" s="8" t="n">
        <f aca="false">E53-D53</f>
        <v>21.71</v>
      </c>
      <c r="G53" s="9" t="n">
        <f aca="false">IFERROR(F53/E53,"")</f>
        <v>0.852375343541421</v>
      </c>
      <c r="H53" s="8" t="n">
        <v>13.49</v>
      </c>
      <c r="I53" s="8" t="n">
        <f aca="false">H53-D53</f>
        <v>9.73</v>
      </c>
      <c r="J53" s="9" t="n">
        <f aca="false">IFERROR(I53/H53,"")</f>
        <v>0.721275018532246</v>
      </c>
      <c r="K53" s="8" t="n">
        <v>7.49</v>
      </c>
      <c r="L53" s="8" t="n">
        <f aca="false">K53-D53</f>
        <v>3.73</v>
      </c>
      <c r="M53" s="9" t="n">
        <f aca="false">IFERROR(L53/K53,"")</f>
        <v>0.497997329773031</v>
      </c>
      <c r="N53" s="8" t="n">
        <v>6.74</v>
      </c>
      <c r="O53" s="8" t="n">
        <f aca="false">N53-D53</f>
        <v>2.98</v>
      </c>
      <c r="P53" s="9" t="n">
        <f aca="false">IFERROR(O53/N53,"")</f>
        <v>0.442136498516321</v>
      </c>
      <c r="Q53" s="8" t="n">
        <v>5.51</v>
      </c>
      <c r="R53" s="8" t="n">
        <f aca="false">Q53-D53</f>
        <v>1.75</v>
      </c>
      <c r="S53" s="9" t="n">
        <f aca="false">IFERROR(R53/Q53,"")</f>
        <v>0.317604355716878</v>
      </c>
    </row>
    <row r="54" customFormat="false" ht="15" hidden="false" customHeight="false" outlineLevel="0" collapsed="false">
      <c r="A54" s="10" t="s">
        <v>79</v>
      </c>
      <c r="B54" s="11" t="s">
        <v>23</v>
      </c>
      <c r="C54" s="10" t="s">
        <v>80</v>
      </c>
      <c r="D54" s="12" t="n">
        <v>4.09</v>
      </c>
      <c r="E54" s="12" t="n">
        <v>28.02</v>
      </c>
      <c r="F54" s="12" t="n">
        <f aca="false">E54-D54</f>
        <v>23.93</v>
      </c>
      <c r="G54" s="13" t="n">
        <f aca="false">IFERROR(F54/E54,"")</f>
        <v>0.854032833690221</v>
      </c>
      <c r="H54" s="12" t="n">
        <v>16.5</v>
      </c>
      <c r="I54" s="12" t="n">
        <f aca="false">H54-D54</f>
        <v>12.41</v>
      </c>
      <c r="J54" s="13" t="n">
        <f aca="false">IFERROR(I54/H54,"")</f>
        <v>0.752121212121212</v>
      </c>
      <c r="K54" s="12" t="n">
        <v>7.64</v>
      </c>
      <c r="L54" s="12" t="n">
        <f aca="false">K54-D54</f>
        <v>3.55</v>
      </c>
      <c r="M54" s="13" t="n">
        <f aca="false">IFERROR(L54/K54,"")</f>
        <v>0.464659685863874</v>
      </c>
      <c r="N54" s="12" t="n">
        <v>7.09</v>
      </c>
      <c r="O54" s="12" t="n">
        <f aca="false">N54-D54</f>
        <v>3</v>
      </c>
      <c r="P54" s="13" t="n">
        <f aca="false">IFERROR(O54/N54,"")</f>
        <v>0.423131170662906</v>
      </c>
      <c r="Q54" s="12" t="n">
        <v>6.73</v>
      </c>
      <c r="R54" s="12" t="n">
        <f aca="false">Q54-D54</f>
        <v>2.64</v>
      </c>
      <c r="S54" s="13" t="n">
        <f aca="false">IFERROR(R54/Q54,"")</f>
        <v>0.392273402674591</v>
      </c>
    </row>
    <row r="55" customFormat="false" ht="15" hidden="false" customHeight="false" outlineLevel="0" collapsed="false">
      <c r="A55" s="6" t="s">
        <v>79</v>
      </c>
      <c r="B55" s="7" t="s">
        <v>25</v>
      </c>
      <c r="C55" s="6" t="s">
        <v>80</v>
      </c>
      <c r="D55" s="8" t="n">
        <v>4.49</v>
      </c>
      <c r="E55" s="8" t="n">
        <v>28.58</v>
      </c>
      <c r="F55" s="8" t="n">
        <f aca="false">E55-D55</f>
        <v>24.09</v>
      </c>
      <c r="G55" s="9" t="n">
        <f aca="false">IFERROR(F55/E55,"")</f>
        <v>0.842897130860742</v>
      </c>
      <c r="H55" s="8" t="n">
        <v>17</v>
      </c>
      <c r="I55" s="8" t="n">
        <f aca="false">H55-D55</f>
        <v>12.51</v>
      </c>
      <c r="J55" s="9" t="n">
        <f aca="false">IFERROR(I55/H55,"")</f>
        <v>0.735882352941176</v>
      </c>
      <c r="K55" s="8" t="n">
        <v>8.99</v>
      </c>
      <c r="L55" s="8" t="n">
        <f aca="false">K55-D55</f>
        <v>4.5</v>
      </c>
      <c r="M55" s="9" t="n">
        <f aca="false">IFERROR(L55/K55,"")</f>
        <v>0.50055617352614</v>
      </c>
      <c r="N55" s="8" t="n">
        <v>7.49</v>
      </c>
      <c r="O55" s="8" t="n">
        <f aca="false">N55-D55</f>
        <v>3</v>
      </c>
      <c r="P55" s="9" t="n">
        <f aca="false">IFERROR(O55/N55,"")</f>
        <v>0.400534045393858</v>
      </c>
      <c r="Q55" s="8" t="n">
        <v>7.22</v>
      </c>
      <c r="R55" s="8" t="n">
        <f aca="false">Q55-D55</f>
        <v>2.73</v>
      </c>
      <c r="S55" s="9" t="n">
        <f aca="false">IFERROR(R55/Q55,"")</f>
        <v>0.378116343490305</v>
      </c>
    </row>
    <row r="56" customFormat="false" ht="15" hidden="false" customHeight="false" outlineLevel="0" collapsed="false">
      <c r="A56" s="10" t="s">
        <v>81</v>
      </c>
      <c r="B56" s="11" t="s">
        <v>27</v>
      </c>
      <c r="C56" s="10" t="s">
        <v>82</v>
      </c>
      <c r="D56" s="12" t="n">
        <v>3.99</v>
      </c>
      <c r="E56" s="12" t="n">
        <v>27.17</v>
      </c>
      <c r="F56" s="12" t="n">
        <f aca="false">E56-D56</f>
        <v>23.18</v>
      </c>
      <c r="G56" s="13" t="n">
        <f aca="false">IFERROR(F56/E56,"")</f>
        <v>0.853146853146853</v>
      </c>
      <c r="H56" s="12" t="n">
        <v>16.97</v>
      </c>
      <c r="I56" s="12" t="n">
        <f aca="false">H56-D56</f>
        <v>12.98</v>
      </c>
      <c r="J56" s="13" t="n">
        <f aca="false">IFERROR(I56/H56,"")</f>
        <v>0.76487919858574</v>
      </c>
      <c r="K56" s="12" t="n">
        <v>8.81</v>
      </c>
      <c r="L56" s="12" t="n">
        <f aca="false">K56-D56</f>
        <v>4.82</v>
      </c>
      <c r="M56" s="13" t="n">
        <f aca="false">IFERROR(L56/K56,"")</f>
        <v>0.547105561861521</v>
      </c>
      <c r="N56" s="12" t="n">
        <v>9.16</v>
      </c>
      <c r="O56" s="12" t="n">
        <f aca="false">N56-D56</f>
        <v>5.17</v>
      </c>
      <c r="P56" s="13" t="n">
        <f aca="false">IFERROR(O56/N56,"")</f>
        <v>0.564410480349345</v>
      </c>
      <c r="Q56" s="12" t="n">
        <v>8.82</v>
      </c>
      <c r="R56" s="12" t="n">
        <f aca="false">Q56-D56</f>
        <v>4.83</v>
      </c>
      <c r="S56" s="13" t="n">
        <f aca="false">IFERROR(R56/Q56,"")</f>
        <v>0.547619047619048</v>
      </c>
    </row>
    <row r="57" customFormat="false" ht="15" hidden="false" customHeight="false" outlineLevel="0" collapsed="false">
      <c r="A57" s="6" t="s">
        <v>83</v>
      </c>
      <c r="B57" s="7" t="s">
        <v>27</v>
      </c>
      <c r="C57" s="6" t="s">
        <v>84</v>
      </c>
      <c r="D57" s="8" t="n">
        <v>4.38</v>
      </c>
      <c r="E57" s="8" t="n">
        <v>30.65</v>
      </c>
      <c r="F57" s="8" t="n">
        <f aca="false">E57-D57</f>
        <v>26.27</v>
      </c>
      <c r="G57" s="9" t="n">
        <f aca="false">IFERROR(F57/E57,"")</f>
        <v>0.857096247960848</v>
      </c>
      <c r="H57" s="8" t="n">
        <v>26.65</v>
      </c>
      <c r="I57" s="8" t="n">
        <f aca="false">H57-D57</f>
        <v>22.27</v>
      </c>
      <c r="J57" s="9" t="n">
        <f aca="false">IFERROR(I57/H57,"")</f>
        <v>0.835647279549719</v>
      </c>
      <c r="K57" s="8" t="n">
        <v>7.77</v>
      </c>
      <c r="L57" s="8" t="n">
        <f aca="false">K57-D57</f>
        <v>3.39</v>
      </c>
      <c r="M57" s="9" t="n">
        <f aca="false">IFERROR(L57/K57,"")</f>
        <v>0.436293436293436</v>
      </c>
      <c r="N57" s="8" t="n">
        <v>11.71</v>
      </c>
      <c r="O57" s="8" t="n">
        <f aca="false">N57-D57</f>
        <v>7.33</v>
      </c>
      <c r="P57" s="9" t="n">
        <f aca="false">IFERROR(O57/N57,"")</f>
        <v>0.625960717335611</v>
      </c>
      <c r="Q57" s="8" t="n">
        <v>10.22</v>
      </c>
      <c r="R57" s="8" t="n">
        <f aca="false">Q57-D57</f>
        <v>5.84</v>
      </c>
      <c r="S57" s="9" t="n">
        <f aca="false">IFERROR(R57/Q57,"")</f>
        <v>0.571428571428572</v>
      </c>
    </row>
    <row r="58" customFormat="false" ht="15" hidden="false" customHeight="false" outlineLevel="0" collapsed="false">
      <c r="A58" s="10" t="s">
        <v>85</v>
      </c>
      <c r="B58" s="11" t="s">
        <v>27</v>
      </c>
      <c r="C58" s="10" t="s">
        <v>86</v>
      </c>
      <c r="D58" s="12" t="n">
        <v>4.19</v>
      </c>
      <c r="E58" s="12" t="n">
        <v>25.47</v>
      </c>
      <c r="F58" s="12" t="n">
        <f aca="false">E58-D58</f>
        <v>21.28</v>
      </c>
      <c r="G58" s="13" t="n">
        <f aca="false">IFERROR(F58/E58,"")</f>
        <v>0.835492736552807</v>
      </c>
      <c r="H58" s="12" t="n">
        <v>14.1</v>
      </c>
      <c r="I58" s="12" t="n">
        <f aca="false">H58-D58</f>
        <v>9.91</v>
      </c>
      <c r="J58" s="13" t="n">
        <f aca="false">IFERROR(I58/H58,"")</f>
        <v>0.702836879432624</v>
      </c>
      <c r="K58" s="12" t="n">
        <v>8.37</v>
      </c>
      <c r="L58" s="12" t="n">
        <f aca="false">K58-D58</f>
        <v>4.18</v>
      </c>
      <c r="M58" s="13" t="n">
        <f aca="false">IFERROR(L58/K58,"")</f>
        <v>0.499402628434886</v>
      </c>
      <c r="N58" s="12" t="n">
        <v>6.74</v>
      </c>
      <c r="O58" s="12" t="n">
        <f aca="false">N58-D58</f>
        <v>2.55</v>
      </c>
      <c r="P58" s="13" t="n">
        <f aca="false">IFERROR(O58/N58,"")</f>
        <v>0.378338278931751</v>
      </c>
      <c r="Q58" s="12" t="n">
        <v>5.67</v>
      </c>
      <c r="R58" s="12" t="n">
        <f aca="false">Q58-D58</f>
        <v>1.48</v>
      </c>
      <c r="S58" s="13" t="n">
        <f aca="false">IFERROR(R58/Q58,"")</f>
        <v>0.261022927689594</v>
      </c>
    </row>
    <row r="59" customFormat="false" ht="15" hidden="false" customHeight="false" outlineLevel="0" collapsed="false">
      <c r="A59" s="6" t="s">
        <v>87</v>
      </c>
      <c r="B59" s="7" t="s">
        <v>27</v>
      </c>
      <c r="C59" s="6" t="s">
        <v>88</v>
      </c>
      <c r="D59" s="8" t="n">
        <v>4.21</v>
      </c>
      <c r="E59" s="8" t="n">
        <v>25.47</v>
      </c>
      <c r="F59" s="8" t="n">
        <f aca="false">E59-D59</f>
        <v>21.26</v>
      </c>
      <c r="G59" s="9" t="n">
        <f aca="false">IFERROR(F59/E59,"")</f>
        <v>0.834707499018453</v>
      </c>
      <c r="H59" s="8" t="n">
        <v>13.22</v>
      </c>
      <c r="I59" s="8" t="n">
        <f aca="false">H59-D59</f>
        <v>9.01</v>
      </c>
      <c r="J59" s="9" t="n">
        <f aca="false">IFERROR(I59/H59,"")</f>
        <v>0.681543116490167</v>
      </c>
      <c r="K59" s="8" t="n">
        <v>7.71</v>
      </c>
      <c r="L59" s="8" t="n">
        <f aca="false">K59-D59</f>
        <v>3.5</v>
      </c>
      <c r="M59" s="9" t="n">
        <f aca="false">IFERROR(L59/K59,"")</f>
        <v>0.453955901426719</v>
      </c>
      <c r="N59" s="8" t="n">
        <v>6.74</v>
      </c>
      <c r="O59" s="8" t="n">
        <f aca="false">N59-D59</f>
        <v>2.53</v>
      </c>
      <c r="P59" s="9" t="n">
        <f aca="false">IFERROR(O59/N59,"")</f>
        <v>0.375370919881306</v>
      </c>
      <c r="Q59" s="8" t="n">
        <v>5.43</v>
      </c>
      <c r="R59" s="8" t="n">
        <f aca="false">Q59-D59</f>
        <v>1.22</v>
      </c>
      <c r="S59" s="9" t="n">
        <f aca="false">IFERROR(R59/Q59,"")</f>
        <v>0.224677716390424</v>
      </c>
    </row>
    <row r="60" customFormat="false" ht="15" hidden="false" customHeight="false" outlineLevel="0" collapsed="false">
      <c r="A60" s="10" t="s">
        <v>87</v>
      </c>
      <c r="B60" s="11" t="s">
        <v>23</v>
      </c>
      <c r="C60" s="10" t="s">
        <v>88</v>
      </c>
      <c r="D60" s="12" t="n">
        <v>4.68</v>
      </c>
      <c r="E60" s="12" t="n">
        <v>28.02</v>
      </c>
      <c r="F60" s="12" t="n">
        <f aca="false">E60-D60</f>
        <v>23.34</v>
      </c>
      <c r="G60" s="13" t="n">
        <f aca="false">IFERROR(F60/E60,"")</f>
        <v>0.832976445396146</v>
      </c>
      <c r="H60" s="12" t="n">
        <v>14.99</v>
      </c>
      <c r="I60" s="12" t="n">
        <f aca="false">H60-D60</f>
        <v>10.31</v>
      </c>
      <c r="J60" s="13" t="n">
        <f aca="false">IFERROR(I60/H60,"")</f>
        <v>0.687791861240827</v>
      </c>
      <c r="K60" s="12" t="n">
        <v>8.81</v>
      </c>
      <c r="L60" s="12" t="n">
        <f aca="false">K60-D60</f>
        <v>4.13</v>
      </c>
      <c r="M60" s="13" t="n">
        <f aca="false">IFERROR(L60/K60,"")</f>
        <v>0.468785471055619</v>
      </c>
      <c r="N60" s="12" t="n">
        <v>6.8</v>
      </c>
      <c r="O60" s="12" t="n">
        <f aca="false">N60-D60</f>
        <v>2.12</v>
      </c>
      <c r="P60" s="13" t="n">
        <f aca="false">IFERROR(O60/N60,"")</f>
        <v>0.311764705882353</v>
      </c>
      <c r="Q60" s="12" t="n">
        <v>6.73</v>
      </c>
      <c r="R60" s="12" t="n">
        <f aca="false">Q60-D60</f>
        <v>2.05</v>
      </c>
      <c r="S60" s="13" t="n">
        <f aca="false">IFERROR(R60/Q60,"")</f>
        <v>0.304606240713224</v>
      </c>
    </row>
    <row r="61" customFormat="false" ht="15" hidden="false" customHeight="false" outlineLevel="0" collapsed="false">
      <c r="A61" s="6" t="s">
        <v>87</v>
      </c>
      <c r="B61" s="7" t="s">
        <v>25</v>
      </c>
      <c r="C61" s="6" t="s">
        <v>88</v>
      </c>
      <c r="D61" s="8" t="n">
        <v>5.15</v>
      </c>
      <c r="E61" s="8" t="n">
        <v>28.58</v>
      </c>
      <c r="F61" s="8" t="n">
        <f aca="false">E61-D61</f>
        <v>23.43</v>
      </c>
      <c r="G61" s="9" t="n">
        <f aca="false">IFERROR(F61/E61,"")</f>
        <v>0.819804058782365</v>
      </c>
      <c r="H61" s="8" t="n">
        <v>15.29</v>
      </c>
      <c r="I61" s="8" t="n">
        <f aca="false">H61-D61</f>
        <v>10.14</v>
      </c>
      <c r="J61" s="9" t="n">
        <f aca="false">IFERROR(I61/H61,"")</f>
        <v>0.663178548070634</v>
      </c>
      <c r="K61" s="8" t="n">
        <v>8.43</v>
      </c>
      <c r="L61" s="8" t="n">
        <f aca="false">K61-D61</f>
        <v>3.28</v>
      </c>
      <c r="M61" s="9" t="n">
        <f aca="false">IFERROR(L61/K61,"")</f>
        <v>0.389086595492289</v>
      </c>
      <c r="N61" s="8" t="n">
        <v>6.03</v>
      </c>
      <c r="O61" s="8" t="n">
        <f aca="false">N61-D61</f>
        <v>0.88</v>
      </c>
      <c r="P61" s="9" t="n">
        <f aca="false">IFERROR(O61/N61,"")</f>
        <v>0.145936981757877</v>
      </c>
      <c r="Q61" s="8" t="n">
        <v>6.18</v>
      </c>
      <c r="R61" s="8" t="n">
        <f aca="false">Q61-D61</f>
        <v>1.03</v>
      </c>
      <c r="S61" s="9" t="n">
        <f aca="false">IFERROR(R61/Q61,"")</f>
        <v>0.166666666666667</v>
      </c>
    </row>
    <row r="62" customFormat="false" ht="15" hidden="false" customHeight="false" outlineLevel="0" collapsed="false">
      <c r="A62" s="10" t="s">
        <v>89</v>
      </c>
      <c r="B62" s="11" t="s">
        <v>27</v>
      </c>
      <c r="C62" s="10" t="s">
        <v>90</v>
      </c>
      <c r="D62" s="12" t="n">
        <v>4.54</v>
      </c>
      <c r="E62" s="12" t="n">
        <v>31</v>
      </c>
      <c r="F62" s="12" t="n">
        <f aca="false">E62-D62</f>
        <v>26.46</v>
      </c>
      <c r="G62" s="13" t="n">
        <f aca="false">IFERROR(F62/E62,"")</f>
        <v>0.853548387096774</v>
      </c>
      <c r="H62" s="12" t="n">
        <v>15.87</v>
      </c>
      <c r="I62" s="12" t="n">
        <f aca="false">H62-D62</f>
        <v>11.33</v>
      </c>
      <c r="J62" s="13" t="n">
        <f aca="false">IFERROR(I62/H62,"")</f>
        <v>0.713925645872716</v>
      </c>
      <c r="K62" s="12" t="n">
        <v>10.93</v>
      </c>
      <c r="L62" s="12" t="n">
        <f aca="false">K62-D62</f>
        <v>6.39</v>
      </c>
      <c r="M62" s="13" t="n">
        <f aca="false">IFERROR(L62/K62,"")</f>
        <v>0.584629460201281</v>
      </c>
      <c r="N62" s="12" t="n">
        <v>8.5</v>
      </c>
      <c r="O62" s="12" t="n">
        <f aca="false">N62-D62</f>
        <v>3.96</v>
      </c>
      <c r="P62" s="13" t="n">
        <f aca="false">IFERROR(O62/N62,"")</f>
        <v>0.465882352941176</v>
      </c>
      <c r="Q62" s="12" t="n">
        <v>6.71</v>
      </c>
      <c r="R62" s="12" t="n">
        <f aca="false">Q62-D62</f>
        <v>2.17</v>
      </c>
      <c r="S62" s="13" t="n">
        <f aca="false">IFERROR(R62/Q62,"")</f>
        <v>0.323397913561848</v>
      </c>
    </row>
    <row r="63" customFormat="false" ht="15" hidden="false" customHeight="false" outlineLevel="0" collapsed="false">
      <c r="A63" s="6" t="s">
        <v>91</v>
      </c>
      <c r="B63" s="7" t="s">
        <v>27</v>
      </c>
      <c r="C63" s="6" t="s">
        <v>92</v>
      </c>
      <c r="D63" s="8" t="n">
        <v>4.84</v>
      </c>
      <c r="E63" s="8" t="n">
        <v>40.43</v>
      </c>
      <c r="F63" s="8" t="n">
        <f aca="false">E63-D63</f>
        <v>35.59</v>
      </c>
      <c r="G63" s="9" t="n">
        <f aca="false">IFERROR(F63/E63,"")</f>
        <v>0.880286915656691</v>
      </c>
      <c r="H63" s="8" t="n">
        <v>25.37</v>
      </c>
      <c r="I63" s="8" t="n">
        <f aca="false">H63-D63</f>
        <v>20.53</v>
      </c>
      <c r="J63" s="9" t="n">
        <f aca="false">IFERROR(I63/H63,"")</f>
        <v>0.809223492313757</v>
      </c>
      <c r="K63" s="8" t="n">
        <v>12.74</v>
      </c>
      <c r="L63" s="8" t="n">
        <f aca="false">K63-D63</f>
        <v>7.9</v>
      </c>
      <c r="M63" s="9" t="n">
        <f aca="false">IFERROR(L63/K63,"")</f>
        <v>0.620094191522763</v>
      </c>
      <c r="N63" s="8" t="n">
        <v>10.21</v>
      </c>
      <c r="O63" s="8" t="n">
        <f aca="false">N63-D63</f>
        <v>5.37</v>
      </c>
      <c r="P63" s="9" t="n">
        <f aca="false">IFERROR(O63/N63,"")</f>
        <v>0.525954946131244</v>
      </c>
      <c r="Q63" s="8" t="n">
        <v>9.17</v>
      </c>
      <c r="R63" s="8" t="n">
        <f aca="false">Q63-D63</f>
        <v>4.33</v>
      </c>
      <c r="S63" s="9" t="n">
        <f aca="false">IFERROR(R63/Q63,"")</f>
        <v>0.472191930207197</v>
      </c>
    </row>
    <row r="64" customFormat="false" ht="15" hidden="false" customHeight="false" outlineLevel="0" collapsed="false">
      <c r="A64" s="10" t="s">
        <v>93</v>
      </c>
      <c r="B64" s="11" t="s">
        <v>27</v>
      </c>
      <c r="C64" s="10" t="s">
        <v>94</v>
      </c>
      <c r="D64" s="12" t="n">
        <v>4.64</v>
      </c>
      <c r="E64" s="12" t="n">
        <v>39.48</v>
      </c>
      <c r="F64" s="12" t="n">
        <f aca="false">E64-D64</f>
        <v>34.84</v>
      </c>
      <c r="G64" s="13" t="n">
        <f aca="false">IFERROR(F64/E64,"")</f>
        <v>0.882472137791287</v>
      </c>
      <c r="H64" s="12" t="n">
        <v>17</v>
      </c>
      <c r="I64" s="12" t="n">
        <f aca="false">H64-D64</f>
        <v>12.36</v>
      </c>
      <c r="J64" s="13" t="n">
        <f aca="false">IFERROR(I64/H64,"")</f>
        <v>0.727058823529412</v>
      </c>
      <c r="K64" s="12" t="n">
        <v>12.74</v>
      </c>
      <c r="L64" s="12" t="n">
        <f aca="false">K64-D64</f>
        <v>8.1</v>
      </c>
      <c r="M64" s="13" t="n">
        <f aca="false">IFERROR(L64/K64,"")</f>
        <v>0.635792778649922</v>
      </c>
      <c r="N64" s="12" t="n">
        <v>10.9</v>
      </c>
      <c r="O64" s="12" t="n">
        <f aca="false">N64-D64</f>
        <v>6.26</v>
      </c>
      <c r="P64" s="13" t="n">
        <f aca="false">IFERROR(O64/N64,"")</f>
        <v>0.574311926605505</v>
      </c>
      <c r="Q64" s="12" t="n">
        <v>11.4</v>
      </c>
      <c r="R64" s="12" t="n">
        <f aca="false">Q64-D64</f>
        <v>6.76</v>
      </c>
      <c r="S64" s="13" t="n">
        <f aca="false">IFERROR(R64/Q64,"")</f>
        <v>0.592982456140351</v>
      </c>
    </row>
    <row r="65" customFormat="false" ht="15" hidden="false" customHeight="false" outlineLevel="0" collapsed="false">
      <c r="A65" s="6" t="s">
        <v>93</v>
      </c>
      <c r="B65" s="7" t="s">
        <v>23</v>
      </c>
      <c r="C65" s="6" t="s">
        <v>94</v>
      </c>
      <c r="D65" s="8" t="n">
        <v>4.99</v>
      </c>
      <c r="E65" s="8" t="n">
        <v>46.2</v>
      </c>
      <c r="F65" s="8" t="n">
        <f aca="false">E65-D65</f>
        <v>41.21</v>
      </c>
      <c r="G65" s="9" t="n">
        <f aca="false">IFERROR(F65/E65,"")</f>
        <v>0.891991341991342</v>
      </c>
      <c r="H65" s="8" t="n">
        <v>29.02</v>
      </c>
      <c r="I65" s="8" t="n">
        <f aca="false">H65-D65</f>
        <v>24.03</v>
      </c>
      <c r="J65" s="9" t="n">
        <f aca="false">IFERROR(I65/H65,"")</f>
        <v>0.828049620951068</v>
      </c>
      <c r="K65" s="8" t="n">
        <v>17.85</v>
      </c>
      <c r="L65" s="8" t="n">
        <f aca="false">K65-D65</f>
        <v>12.86</v>
      </c>
      <c r="M65" s="9" t="n">
        <f aca="false">IFERROR(L65/K65,"")</f>
        <v>0.720448179271709</v>
      </c>
      <c r="N65" s="8" t="n">
        <v>14.88</v>
      </c>
      <c r="O65" s="8" t="n">
        <f aca="false">N65-D65</f>
        <v>9.89</v>
      </c>
      <c r="P65" s="9" t="n">
        <f aca="false">IFERROR(O65/N65,"")</f>
        <v>0.664650537634409</v>
      </c>
      <c r="Q65" s="8" t="n">
        <v>11.42</v>
      </c>
      <c r="R65" s="8" t="n">
        <f aca="false">Q65-D65</f>
        <v>6.43</v>
      </c>
      <c r="S65" s="9" t="n">
        <f aca="false">IFERROR(R65/Q65,"")</f>
        <v>0.563047285464098</v>
      </c>
    </row>
    <row r="66" customFormat="false" ht="15" hidden="false" customHeight="false" outlineLevel="0" collapsed="false">
      <c r="A66" s="10" t="s">
        <v>93</v>
      </c>
      <c r="B66" s="11" t="s">
        <v>25</v>
      </c>
      <c r="C66" s="10" t="s">
        <v>94</v>
      </c>
      <c r="D66" s="12" t="n">
        <v>5.48</v>
      </c>
      <c r="E66" s="12" t="n">
        <v>48.93</v>
      </c>
      <c r="F66" s="12" t="n">
        <f aca="false">E66-D66</f>
        <v>43.45</v>
      </c>
      <c r="G66" s="13" t="n">
        <f aca="false">IFERROR(F66/E66,"")</f>
        <v>0.888003269977519</v>
      </c>
      <c r="H66" s="12" t="n">
        <v>31.08</v>
      </c>
      <c r="I66" s="12" t="n">
        <f aca="false">H66-D66</f>
        <v>25.6</v>
      </c>
      <c r="J66" s="13" t="n">
        <f aca="false">IFERROR(I66/H66,"")</f>
        <v>0.823680823680824</v>
      </c>
      <c r="K66" s="12" t="n">
        <v>17.34</v>
      </c>
      <c r="L66" s="12" t="n">
        <f aca="false">K66-D66</f>
        <v>11.86</v>
      </c>
      <c r="M66" s="13" t="n">
        <f aca="false">IFERROR(L66/K66,"")</f>
        <v>0.68396770472895</v>
      </c>
      <c r="N66" s="12" t="n">
        <v>15.89</v>
      </c>
      <c r="O66" s="12" t="n">
        <f aca="false">N66-D66</f>
        <v>10.41</v>
      </c>
      <c r="P66" s="13" t="n">
        <f aca="false">IFERROR(O66/N66,"")</f>
        <v>0.655129011957206</v>
      </c>
      <c r="Q66" s="12" t="n">
        <v>13.13</v>
      </c>
      <c r="R66" s="12" t="n">
        <f aca="false">Q66-D66</f>
        <v>7.65</v>
      </c>
      <c r="S66" s="13" t="n">
        <f aca="false">IFERROR(R66/Q66,"")</f>
        <v>0.582635186595583</v>
      </c>
    </row>
    <row r="67" customFormat="false" ht="15" hidden="false" customHeight="false" outlineLevel="0" collapsed="false">
      <c r="A67" s="6" t="s">
        <v>95</v>
      </c>
      <c r="B67" s="7" t="s">
        <v>27</v>
      </c>
      <c r="C67" s="6" t="s">
        <v>96</v>
      </c>
      <c r="D67" s="8" t="n">
        <v>3.97</v>
      </c>
      <c r="E67" s="8" t="n">
        <v>25.37</v>
      </c>
      <c r="F67" s="8" t="n">
        <f aca="false">E67-D67</f>
        <v>21.4</v>
      </c>
      <c r="G67" s="9" t="n">
        <f aca="false">IFERROR(F67/E67,"")</f>
        <v>0.843515963736697</v>
      </c>
      <c r="H67" s="8" t="n">
        <v>16.58</v>
      </c>
      <c r="I67" s="8" t="n">
        <f aca="false">H67-D67</f>
        <v>12.61</v>
      </c>
      <c r="J67" s="9" t="n">
        <f aca="false">IFERROR(I67/H67,"")</f>
        <v>0.760554885404101</v>
      </c>
      <c r="K67" s="8" t="n">
        <v>12.11</v>
      </c>
      <c r="L67" s="8" t="n">
        <f aca="false">K67-D67</f>
        <v>8.14</v>
      </c>
      <c r="M67" s="9" t="n">
        <f aca="false">IFERROR(L67/K67,"")</f>
        <v>0.672171758876961</v>
      </c>
      <c r="N67" s="8" t="n">
        <v>10.06</v>
      </c>
      <c r="O67" s="8" t="n">
        <f aca="false">N67-D67</f>
        <v>6.09</v>
      </c>
      <c r="P67" s="9" t="n">
        <f aca="false">IFERROR(O67/N67,"")</f>
        <v>0.605367793240557</v>
      </c>
      <c r="Q67" s="8" t="n">
        <v>8.81</v>
      </c>
      <c r="R67" s="8" t="n">
        <f aca="false">Q67-D67</f>
        <v>4.84</v>
      </c>
      <c r="S67" s="9" t="n">
        <f aca="false">IFERROR(R67/Q67,"")</f>
        <v>0.549375709421112</v>
      </c>
    </row>
    <row r="68" customFormat="false" ht="15" hidden="false" customHeight="false" outlineLevel="0" collapsed="false">
      <c r="A68" s="10" t="s">
        <v>97</v>
      </c>
      <c r="B68" s="11" t="s">
        <v>27</v>
      </c>
      <c r="C68" s="10" t="s">
        <v>98</v>
      </c>
      <c r="D68" s="12" t="n">
        <v>4.03</v>
      </c>
      <c r="E68" s="12" t="n">
        <v>30</v>
      </c>
      <c r="F68" s="12" t="n">
        <f aca="false">E68-D68</f>
        <v>25.97</v>
      </c>
      <c r="G68" s="13" t="n">
        <f aca="false">IFERROR(F68/E68,"")</f>
        <v>0.865666666666667</v>
      </c>
      <c r="H68" s="12" t="n">
        <v>17.19</v>
      </c>
      <c r="I68" s="12" t="n">
        <f aca="false">H68-D68</f>
        <v>13.16</v>
      </c>
      <c r="J68" s="13" t="n">
        <f aca="false">IFERROR(I68/H68,"")</f>
        <v>0.765561372891216</v>
      </c>
      <c r="K68" s="12" t="n">
        <v>13.26</v>
      </c>
      <c r="L68" s="12" t="n">
        <f aca="false">K68-D68</f>
        <v>9.23</v>
      </c>
      <c r="M68" s="13" t="n">
        <f aca="false">IFERROR(L68/K68,"")</f>
        <v>0.696078431372549</v>
      </c>
      <c r="N68" s="12" t="n">
        <v>10.32</v>
      </c>
      <c r="O68" s="12" t="n">
        <f aca="false">N68-D68</f>
        <v>6.29</v>
      </c>
      <c r="P68" s="13" t="n">
        <f aca="false">IFERROR(O68/N68,"")</f>
        <v>0.609496124031008</v>
      </c>
      <c r="Q68" s="12" t="n">
        <v>10.13</v>
      </c>
      <c r="R68" s="12" t="n">
        <f aca="false">Q68-D68</f>
        <v>6.1</v>
      </c>
      <c r="S68" s="13" t="n">
        <f aca="false">IFERROR(R68/Q68,"")</f>
        <v>0.602171767028628</v>
      </c>
    </row>
    <row r="69" customFormat="false" ht="15" hidden="false" customHeight="false" outlineLevel="0" collapsed="false">
      <c r="A69" s="6" t="s">
        <v>99</v>
      </c>
      <c r="B69" s="7" t="s">
        <v>27</v>
      </c>
      <c r="C69" s="6" t="s">
        <v>100</v>
      </c>
      <c r="D69" s="8" t="n">
        <v>4.07</v>
      </c>
      <c r="E69" s="8" t="n">
        <v>28.93</v>
      </c>
      <c r="F69" s="8" t="n">
        <f aca="false">E69-D69</f>
        <v>24.86</v>
      </c>
      <c r="G69" s="9" t="n">
        <f aca="false">IFERROR(F69/E69,"")</f>
        <v>0.859315589353612</v>
      </c>
      <c r="H69" s="8" t="n">
        <v>15.43</v>
      </c>
      <c r="I69" s="8" t="n">
        <f aca="false">H69-D69</f>
        <v>11.36</v>
      </c>
      <c r="J69" s="9" t="n">
        <f aca="false">IFERROR(I69/H69,"")</f>
        <v>0.736228127025275</v>
      </c>
      <c r="K69" s="8" t="n">
        <v>8.81</v>
      </c>
      <c r="L69" s="8" t="n">
        <f aca="false">K69-D69</f>
        <v>4.74</v>
      </c>
      <c r="M69" s="9" t="n">
        <f aca="false">IFERROR(L69/K69,"")</f>
        <v>0.538024971623156</v>
      </c>
      <c r="N69" s="8" t="n">
        <v>7.36</v>
      </c>
      <c r="O69" s="8" t="n">
        <f aca="false">N69-D69</f>
        <v>3.29</v>
      </c>
      <c r="P69" s="9" t="n">
        <f aca="false">IFERROR(O69/N69,"")</f>
        <v>0.447010869565217</v>
      </c>
      <c r="Q69" s="8" t="n">
        <v>8.45</v>
      </c>
      <c r="R69" s="8" t="n">
        <f aca="false">Q69-D69</f>
        <v>4.38</v>
      </c>
      <c r="S69" s="9" t="n">
        <f aca="false">IFERROR(R69/Q69,"")</f>
        <v>0.518343195266272</v>
      </c>
    </row>
    <row r="70" customFormat="false" ht="15" hidden="false" customHeight="false" outlineLevel="0" collapsed="false">
      <c r="A70" s="10" t="s">
        <v>99</v>
      </c>
      <c r="B70" s="11" t="s">
        <v>23</v>
      </c>
      <c r="C70" s="10" t="s">
        <v>100</v>
      </c>
      <c r="D70" s="12" t="n">
        <v>4.43</v>
      </c>
      <c r="E70" s="12" t="n">
        <v>33.43</v>
      </c>
      <c r="F70" s="12" t="n">
        <f aca="false">E70-D70</f>
        <v>29</v>
      </c>
      <c r="G70" s="13" t="n">
        <f aca="false">IFERROR(F70/E70,"")</f>
        <v>0.867484295542926</v>
      </c>
      <c r="H70" s="12" t="n">
        <v>21.36</v>
      </c>
      <c r="I70" s="12" t="n">
        <f aca="false">H70-D70</f>
        <v>16.93</v>
      </c>
      <c r="J70" s="13" t="n">
        <f aca="false">IFERROR(I70/H70,"")</f>
        <v>0.792602996254682</v>
      </c>
      <c r="K70" s="12" t="n">
        <v>13.18</v>
      </c>
      <c r="L70" s="12" t="n">
        <f aca="false">K70-D70</f>
        <v>8.75</v>
      </c>
      <c r="M70" s="13" t="n">
        <f aca="false">IFERROR(L70/K70,"")</f>
        <v>0.663884673748103</v>
      </c>
      <c r="N70" s="12" t="n">
        <v>12.53</v>
      </c>
      <c r="O70" s="12" t="n">
        <f aca="false">N70-D70</f>
        <v>8.1</v>
      </c>
      <c r="P70" s="13" t="n">
        <f aca="false">IFERROR(O70/N70,"")</f>
        <v>0.646448523543496</v>
      </c>
      <c r="Q70" s="12" t="n">
        <v>12.02</v>
      </c>
      <c r="R70" s="12" t="n">
        <f aca="false">Q70-D70</f>
        <v>7.59</v>
      </c>
      <c r="S70" s="13" t="n">
        <f aca="false">IFERROR(R70/Q70,"")</f>
        <v>0.631447587354409</v>
      </c>
    </row>
    <row r="71" customFormat="false" ht="15" hidden="false" customHeight="false" outlineLevel="0" collapsed="false">
      <c r="A71" s="6" t="s">
        <v>99</v>
      </c>
      <c r="B71" s="7" t="s">
        <v>25</v>
      </c>
      <c r="C71" s="6" t="s">
        <v>100</v>
      </c>
      <c r="D71" s="8" t="n">
        <v>4.87</v>
      </c>
      <c r="E71" s="8" t="n">
        <v>29.35</v>
      </c>
      <c r="F71" s="8" t="n">
        <f aca="false">E71-D71</f>
        <v>24.48</v>
      </c>
      <c r="G71" s="9" t="n">
        <f aca="false">IFERROR(F71/E71,"")</f>
        <v>0.834071550255537</v>
      </c>
      <c r="H71" s="8" t="n">
        <v>18.9</v>
      </c>
      <c r="I71" s="8" t="n">
        <f aca="false">H71-D71</f>
        <v>14.03</v>
      </c>
      <c r="J71" s="9" t="n">
        <f aca="false">IFERROR(I71/H71,"")</f>
        <v>0.742328042328042</v>
      </c>
      <c r="K71" s="8" t="n">
        <v>17.34</v>
      </c>
      <c r="L71" s="8" t="n">
        <f aca="false">K71-D71</f>
        <v>12.47</v>
      </c>
      <c r="M71" s="9" t="n">
        <f aca="false">IFERROR(L71/K71,"")</f>
        <v>0.719146482122261</v>
      </c>
      <c r="N71" s="8" t="n">
        <v>12.57</v>
      </c>
      <c r="O71" s="8" t="n">
        <f aca="false">N71-D71</f>
        <v>7.7</v>
      </c>
      <c r="P71" s="9" t="n">
        <f aca="false">IFERROR(O71/N71,"")</f>
        <v>0.612569610182975</v>
      </c>
      <c r="Q71" s="8" t="n">
        <v>10.16</v>
      </c>
      <c r="R71" s="8" t="n">
        <f aca="false">Q71-D71</f>
        <v>5.29</v>
      </c>
      <c r="S71" s="9" t="n">
        <f aca="false">IFERROR(R71/Q71,"")</f>
        <v>0.520669291338583</v>
      </c>
    </row>
    <row r="72" customFormat="false" ht="15" hidden="false" customHeight="false" outlineLevel="0" collapsed="false">
      <c r="A72" s="10" t="s">
        <v>101</v>
      </c>
      <c r="B72" s="11" t="s">
        <v>27</v>
      </c>
      <c r="C72" s="10" t="s">
        <v>102</v>
      </c>
      <c r="D72" s="12" t="n">
        <v>4.11</v>
      </c>
      <c r="E72" s="12" t="n">
        <v>25.47</v>
      </c>
      <c r="F72" s="12" t="n">
        <f aca="false">E72-D72</f>
        <v>21.36</v>
      </c>
      <c r="G72" s="13" t="n">
        <f aca="false">IFERROR(F72/E72,"")</f>
        <v>0.838633686690224</v>
      </c>
      <c r="H72" s="12" t="n">
        <v>14.99</v>
      </c>
      <c r="I72" s="12" t="n">
        <f aca="false">H72-D72</f>
        <v>10.88</v>
      </c>
      <c r="J72" s="13" t="n">
        <f aca="false">IFERROR(I72/H72,"")</f>
        <v>0.725817211474316</v>
      </c>
      <c r="K72" s="12" t="n">
        <v>8.81</v>
      </c>
      <c r="L72" s="12" t="n">
        <f aca="false">K72-D72</f>
        <v>4.7</v>
      </c>
      <c r="M72" s="13" t="n">
        <f aca="false">IFERROR(L72/K72,"")</f>
        <v>0.533484676503973</v>
      </c>
      <c r="N72" s="12" t="n">
        <v>7.09</v>
      </c>
      <c r="O72" s="12" t="n">
        <f aca="false">N72-D72</f>
        <v>2.98</v>
      </c>
      <c r="P72" s="13" t="n">
        <f aca="false">IFERROR(O72/N72,"")</f>
        <v>0.420310296191819</v>
      </c>
      <c r="Q72" s="12" t="n">
        <v>6.61</v>
      </c>
      <c r="R72" s="12" t="n">
        <f aca="false">Q72-D72</f>
        <v>2.5</v>
      </c>
      <c r="S72" s="13" t="n">
        <f aca="false">IFERROR(R72/Q72,"")</f>
        <v>0.37821482602118</v>
      </c>
    </row>
    <row r="73" customFormat="false" ht="15" hidden="false" customHeight="false" outlineLevel="0" collapsed="false">
      <c r="A73" s="6" t="s">
        <v>103</v>
      </c>
      <c r="B73" s="7" t="s">
        <v>27</v>
      </c>
      <c r="C73" s="6" t="s">
        <v>104</v>
      </c>
      <c r="D73" s="8" t="n">
        <v>3.89</v>
      </c>
      <c r="E73" s="8" t="n">
        <v>29.35</v>
      </c>
      <c r="F73" s="8" t="n">
        <f aca="false">E73-D73</f>
        <v>25.46</v>
      </c>
      <c r="G73" s="9" t="n">
        <f aca="false">IFERROR(F73/E73,"")</f>
        <v>0.867461669505963</v>
      </c>
      <c r="H73" s="8" t="n">
        <v>13.22</v>
      </c>
      <c r="I73" s="8" t="n">
        <f aca="false">H73-D73</f>
        <v>9.33</v>
      </c>
      <c r="J73" s="9" t="n">
        <f aca="false">IFERROR(I73/H73,"")</f>
        <v>0.705748865355522</v>
      </c>
      <c r="K73" s="8" t="n">
        <v>7.71</v>
      </c>
      <c r="L73" s="8" t="n">
        <f aca="false">K73-D73</f>
        <v>3.82</v>
      </c>
      <c r="M73" s="9" t="n">
        <f aca="false">IFERROR(L73/K73,"")</f>
        <v>0.495460440985733</v>
      </c>
      <c r="N73" s="8" t="n">
        <v>6.74</v>
      </c>
      <c r="O73" s="8" t="n">
        <f aca="false">N73-D73</f>
        <v>2.85</v>
      </c>
      <c r="P73" s="9" t="n">
        <f aca="false">IFERROR(O73/N73,"")</f>
        <v>0.422848664688427</v>
      </c>
      <c r="Q73" s="8" t="n">
        <v>6.07</v>
      </c>
      <c r="R73" s="8" t="n">
        <f aca="false">Q73-D73</f>
        <v>2.18</v>
      </c>
      <c r="S73" s="9" t="n">
        <f aca="false">IFERROR(R73/Q73,"")</f>
        <v>0.359143327841845</v>
      </c>
    </row>
    <row r="74" customFormat="false" ht="15" hidden="false" customHeight="false" outlineLevel="0" collapsed="false">
      <c r="A74" s="10" t="s">
        <v>103</v>
      </c>
      <c r="B74" s="11" t="s">
        <v>23</v>
      </c>
      <c r="C74" s="10" t="s">
        <v>104</v>
      </c>
      <c r="D74" s="12" t="n">
        <v>4.19</v>
      </c>
      <c r="E74" s="12" t="n">
        <v>31.8</v>
      </c>
      <c r="F74" s="12" t="n">
        <f aca="false">E74-D74</f>
        <v>27.61</v>
      </c>
      <c r="G74" s="13" t="n">
        <f aca="false">IFERROR(F74/E74,"")</f>
        <v>0.868238993710692</v>
      </c>
      <c r="H74" s="12" t="n">
        <v>14.25</v>
      </c>
      <c r="I74" s="12" t="n">
        <f aca="false">H74-D74</f>
        <v>10.06</v>
      </c>
      <c r="J74" s="13" t="n">
        <f aca="false">IFERROR(I74/H74,"")</f>
        <v>0.705964912280702</v>
      </c>
      <c r="K74" s="12" t="n">
        <v>9.2</v>
      </c>
      <c r="L74" s="12" t="n">
        <f aca="false">K74-D74</f>
        <v>5.01</v>
      </c>
      <c r="M74" s="13" t="n">
        <f aca="false">IFERROR(L74/K74,"")</f>
        <v>0.544565217391304</v>
      </c>
      <c r="N74" s="12" t="n">
        <v>7.44</v>
      </c>
      <c r="O74" s="12" t="n">
        <f aca="false">N74-D74</f>
        <v>3.25</v>
      </c>
      <c r="P74" s="13" t="n">
        <f aca="false">IFERROR(O74/N74,"")</f>
        <v>0.436827956989247</v>
      </c>
      <c r="Q74" s="12" t="n">
        <v>6.71</v>
      </c>
      <c r="R74" s="12" t="n">
        <f aca="false">Q74-D74</f>
        <v>2.52</v>
      </c>
      <c r="S74" s="13" t="n">
        <f aca="false">IFERROR(R74/Q74,"")</f>
        <v>0.375558867362146</v>
      </c>
    </row>
    <row r="75" customFormat="false" ht="15" hidden="false" customHeight="false" outlineLevel="0" collapsed="false">
      <c r="A75" s="6" t="s">
        <v>103</v>
      </c>
      <c r="B75" s="7" t="s">
        <v>25</v>
      </c>
      <c r="C75" s="6" t="s">
        <v>104</v>
      </c>
      <c r="D75" s="8" t="n">
        <v>4.61</v>
      </c>
      <c r="E75" s="8" t="n">
        <v>34.91</v>
      </c>
      <c r="F75" s="8" t="n">
        <f aca="false">E75-D75</f>
        <v>30.3</v>
      </c>
      <c r="G75" s="9" t="n">
        <f aca="false">IFERROR(F75/E75,"")</f>
        <v>0.867946147235749</v>
      </c>
      <c r="H75" s="8" t="n">
        <v>25.06</v>
      </c>
      <c r="I75" s="8" t="n">
        <f aca="false">H75-D75</f>
        <v>20.45</v>
      </c>
      <c r="J75" s="9" t="n">
        <f aca="false">IFERROR(I75/H75,"")</f>
        <v>0.816041500399042</v>
      </c>
      <c r="K75" s="8" t="n">
        <v>8.43</v>
      </c>
      <c r="L75" s="8" t="n">
        <f aca="false">K75-D75</f>
        <v>3.82</v>
      </c>
      <c r="M75" s="9" t="n">
        <f aca="false">IFERROR(L75/K75,"")</f>
        <v>0.453143534994069</v>
      </c>
      <c r="N75" s="8" t="n">
        <v>6.87</v>
      </c>
      <c r="O75" s="8" t="n">
        <f aca="false">N75-D75</f>
        <v>2.26</v>
      </c>
      <c r="P75" s="9" t="n">
        <f aca="false">IFERROR(O75/N75,"")</f>
        <v>0.328966521106259</v>
      </c>
      <c r="Q75" s="8" t="n">
        <v>6.8</v>
      </c>
      <c r="R75" s="8" t="n">
        <f aca="false">Q75-D75</f>
        <v>2.19</v>
      </c>
      <c r="S75" s="9" t="n">
        <f aca="false">IFERROR(R75/Q75,"")</f>
        <v>0.322058823529412</v>
      </c>
    </row>
    <row r="76" customFormat="false" ht="15" hidden="false" customHeight="false" outlineLevel="0" collapsed="false">
      <c r="A76" s="10" t="s">
        <v>105</v>
      </c>
      <c r="B76" s="11" t="s">
        <v>27</v>
      </c>
      <c r="C76" s="10" t="s">
        <v>106</v>
      </c>
      <c r="D76" s="12" t="n">
        <v>4.09</v>
      </c>
      <c r="E76" s="12" t="n">
        <v>26.99</v>
      </c>
      <c r="F76" s="12" t="n">
        <f aca="false">E76-D76</f>
        <v>22.9</v>
      </c>
      <c r="G76" s="13" t="n">
        <f aca="false">IFERROR(F76/E76,"")</f>
        <v>0.848462393479066</v>
      </c>
      <c r="H76" s="12" t="n">
        <v>14.54</v>
      </c>
      <c r="I76" s="12" t="n">
        <f aca="false">H76-D76</f>
        <v>10.45</v>
      </c>
      <c r="J76" s="13" t="n">
        <f aca="false">IFERROR(I76/H76,"")</f>
        <v>0.718707015130674</v>
      </c>
      <c r="K76" s="12" t="n">
        <v>7.71</v>
      </c>
      <c r="L76" s="12" t="n">
        <f aca="false">K76-D76</f>
        <v>3.62</v>
      </c>
      <c r="M76" s="13" t="n">
        <f aca="false">IFERROR(L76/K76,"")</f>
        <v>0.469520103761349</v>
      </c>
      <c r="N76" s="12" t="n">
        <v>6.74</v>
      </c>
      <c r="O76" s="12" t="n">
        <f aca="false">N76-D76</f>
        <v>2.65</v>
      </c>
      <c r="P76" s="13" t="n">
        <f aca="false">IFERROR(O76/N76,"")</f>
        <v>0.393175074183976</v>
      </c>
      <c r="Q76" s="12" t="n">
        <v>5.88</v>
      </c>
      <c r="R76" s="12" t="n">
        <f aca="false">Q76-D76</f>
        <v>1.79</v>
      </c>
      <c r="S76" s="13" t="n">
        <f aca="false">IFERROR(R76/Q76,"")</f>
        <v>0.304421768707483</v>
      </c>
    </row>
    <row r="77" customFormat="false" ht="15" hidden="false" customHeight="false" outlineLevel="0" collapsed="false">
      <c r="A77" s="6" t="s">
        <v>105</v>
      </c>
      <c r="B77" s="7" t="s">
        <v>23</v>
      </c>
      <c r="C77" s="6" t="s">
        <v>106</v>
      </c>
      <c r="D77" s="8" t="n">
        <v>4.43</v>
      </c>
      <c r="E77" s="8" t="n">
        <v>31</v>
      </c>
      <c r="F77" s="8" t="n">
        <f aca="false">E77-D77</f>
        <v>26.57</v>
      </c>
      <c r="G77" s="9" t="n">
        <f aca="false">IFERROR(F77/E77,"")</f>
        <v>0.857096774193548</v>
      </c>
      <c r="H77" s="8" t="n">
        <v>18.99</v>
      </c>
      <c r="I77" s="8" t="n">
        <f aca="false">H77-D77</f>
        <v>14.56</v>
      </c>
      <c r="J77" s="9" t="n">
        <f aca="false">IFERROR(I77/H77,"")</f>
        <v>0.766719325961032</v>
      </c>
      <c r="K77" s="8" t="n">
        <v>7.64</v>
      </c>
      <c r="L77" s="8" t="n">
        <f aca="false">K77-D77</f>
        <v>3.21</v>
      </c>
      <c r="M77" s="9" t="n">
        <f aca="false">IFERROR(L77/K77,"")</f>
        <v>0.420157068062827</v>
      </c>
      <c r="N77" s="8" t="n">
        <v>6.51</v>
      </c>
      <c r="O77" s="8" t="n">
        <f aca="false">N77-D77</f>
        <v>2.08</v>
      </c>
      <c r="P77" s="9" t="n">
        <f aca="false">IFERROR(O77/N77,"")</f>
        <v>0.319508448540707</v>
      </c>
      <c r="Q77" s="8" t="n">
        <v>6.3</v>
      </c>
      <c r="R77" s="8" t="n">
        <f aca="false">Q77-D77</f>
        <v>1.87</v>
      </c>
      <c r="S77" s="9" t="n">
        <f aca="false">IFERROR(R77/Q77,"")</f>
        <v>0.296825396825397</v>
      </c>
    </row>
    <row r="78" customFormat="false" ht="15" hidden="false" customHeight="false" outlineLevel="0" collapsed="false">
      <c r="A78" s="10" t="s">
        <v>105</v>
      </c>
      <c r="B78" s="11" t="s">
        <v>25</v>
      </c>
      <c r="C78" s="10" t="s">
        <v>106</v>
      </c>
      <c r="D78" s="12" t="n">
        <v>4.87</v>
      </c>
      <c r="E78" s="12" t="n">
        <v>27.63</v>
      </c>
      <c r="F78" s="12" t="n">
        <f aca="false">E78-D78</f>
        <v>22.76</v>
      </c>
      <c r="G78" s="13" t="n">
        <f aca="false">IFERROR(F78/E78,"")</f>
        <v>0.823742309084329</v>
      </c>
      <c r="H78" s="12" t="n">
        <v>15.14</v>
      </c>
      <c r="I78" s="12" t="n">
        <f aca="false">H78-D78</f>
        <v>10.27</v>
      </c>
      <c r="J78" s="13" t="n">
        <f aca="false">IFERROR(I78/H78,"")</f>
        <v>0.678335535006605</v>
      </c>
      <c r="K78" s="12" t="n">
        <v>9.7</v>
      </c>
      <c r="L78" s="12" t="n">
        <f aca="false">K78-D78</f>
        <v>4.83</v>
      </c>
      <c r="M78" s="13" t="n">
        <f aca="false">IFERROR(L78/K78,"")</f>
        <v>0.497938144329897</v>
      </c>
      <c r="N78" s="12" t="n">
        <v>7.84</v>
      </c>
      <c r="O78" s="12" t="n">
        <f aca="false">N78-D78</f>
        <v>2.97</v>
      </c>
      <c r="P78" s="13" t="n">
        <f aca="false">IFERROR(O78/N78,"")</f>
        <v>0.378826530612245</v>
      </c>
      <c r="Q78" s="12" t="n">
        <v>6.84</v>
      </c>
      <c r="R78" s="12" t="n">
        <f aca="false">Q78-D78</f>
        <v>1.97</v>
      </c>
      <c r="S78" s="13" t="n">
        <f aca="false">IFERROR(R78/Q78,"")</f>
        <v>0.288011695906433</v>
      </c>
    </row>
    <row r="79" customFormat="false" ht="15" hidden="false" customHeight="false" outlineLevel="0" collapsed="false">
      <c r="A79" s="6" t="s">
        <v>107</v>
      </c>
      <c r="B79" s="7" t="s">
        <v>27</v>
      </c>
      <c r="C79" s="6" t="s">
        <v>108</v>
      </c>
      <c r="D79" s="8" t="n">
        <v>4.09</v>
      </c>
      <c r="E79" s="8" t="n">
        <v>31</v>
      </c>
      <c r="F79" s="8" t="n">
        <f aca="false">E79-D79</f>
        <v>26.91</v>
      </c>
      <c r="G79" s="9" t="n">
        <f aca="false">IFERROR(F79/E79,"")</f>
        <v>0.868064516129032</v>
      </c>
      <c r="H79" s="8" t="n">
        <v>17.63</v>
      </c>
      <c r="I79" s="8" t="n">
        <f aca="false">H79-D79</f>
        <v>13.54</v>
      </c>
      <c r="J79" s="9" t="n">
        <f aca="false">IFERROR(I79/H79,"")</f>
        <v>0.768009075439592</v>
      </c>
      <c r="K79" s="8" t="n">
        <v>10.58</v>
      </c>
      <c r="L79" s="8" t="n">
        <f aca="false">K79-D79</f>
        <v>6.49</v>
      </c>
      <c r="M79" s="9" t="n">
        <f aca="false">IFERROR(L79/K79,"")</f>
        <v>0.613421550094518</v>
      </c>
      <c r="N79" s="8" t="n">
        <v>7.79</v>
      </c>
      <c r="O79" s="8" t="n">
        <f aca="false">N79-D79</f>
        <v>3.7</v>
      </c>
      <c r="P79" s="9" t="n">
        <f aca="false">IFERROR(O79/N79,"")</f>
        <v>0.474967907573813</v>
      </c>
      <c r="Q79" s="8" t="n">
        <v>7.71</v>
      </c>
      <c r="R79" s="8" t="n">
        <f aca="false">Q79-D79</f>
        <v>3.62</v>
      </c>
      <c r="S79" s="9" t="n">
        <f aca="false">IFERROR(R79/Q79,"")</f>
        <v>0.469520103761349</v>
      </c>
    </row>
    <row r="80" customFormat="false" ht="15" hidden="false" customHeight="false" outlineLevel="0" collapsed="false">
      <c r="A80" s="10" t="s">
        <v>109</v>
      </c>
      <c r="B80" s="11" t="s">
        <v>27</v>
      </c>
      <c r="C80" s="10" t="s">
        <v>110</v>
      </c>
      <c r="D80" s="12" t="n">
        <v>4.38</v>
      </c>
      <c r="E80" s="12" t="n">
        <v>26.99</v>
      </c>
      <c r="F80" s="12" t="n">
        <f aca="false">E80-D80</f>
        <v>22.61</v>
      </c>
      <c r="G80" s="13" t="n">
        <f aca="false">IFERROR(F80/E80,"")</f>
        <v>0.837717673212301</v>
      </c>
      <c r="H80" s="12" t="n">
        <v>15.27</v>
      </c>
      <c r="I80" s="12" t="n">
        <f aca="false">H80-D80</f>
        <v>10.89</v>
      </c>
      <c r="J80" s="13" t="n">
        <f aca="false">IFERROR(I80/H80,"")</f>
        <v>0.713163064833006</v>
      </c>
      <c r="K80" s="12" t="n">
        <v>9.18</v>
      </c>
      <c r="L80" s="12" t="n">
        <f aca="false">K80-D80</f>
        <v>4.8</v>
      </c>
      <c r="M80" s="13" t="n">
        <f aca="false">IFERROR(L80/K80,"")</f>
        <v>0.522875816993464</v>
      </c>
      <c r="N80" s="12" t="n">
        <v>7.09</v>
      </c>
      <c r="O80" s="12" t="n">
        <f aca="false">N80-D80</f>
        <v>2.71</v>
      </c>
      <c r="P80" s="13" t="n">
        <f aca="false">IFERROR(O80/N80,"")</f>
        <v>0.382228490832158</v>
      </c>
      <c r="Q80" s="12" t="n">
        <v>6.33</v>
      </c>
      <c r="R80" s="12" t="n">
        <f aca="false">Q80-D80</f>
        <v>1.95</v>
      </c>
      <c r="S80" s="13" t="n">
        <f aca="false">IFERROR(R80/Q80,"")</f>
        <v>0.308056872037915</v>
      </c>
    </row>
    <row r="81" customFormat="false" ht="15" hidden="false" customHeight="false" outlineLevel="0" collapsed="false">
      <c r="A81" s="6" t="s">
        <v>109</v>
      </c>
      <c r="B81" s="7" t="s">
        <v>23</v>
      </c>
      <c r="C81" s="6" t="s">
        <v>110</v>
      </c>
      <c r="D81" s="8" t="n">
        <v>4.86</v>
      </c>
      <c r="E81" s="8" t="n">
        <v>30</v>
      </c>
      <c r="F81" s="8" t="n">
        <f aca="false">E81-D81</f>
        <v>25.14</v>
      </c>
      <c r="G81" s="9" t="n">
        <f aca="false">IFERROR(F81/E81,"")</f>
        <v>0.838</v>
      </c>
      <c r="H81" s="8" t="n">
        <v>17.99</v>
      </c>
      <c r="I81" s="8" t="n">
        <f aca="false">H81-D81</f>
        <v>13.13</v>
      </c>
      <c r="J81" s="9" t="n">
        <f aca="false">IFERROR(I81/H81,"")</f>
        <v>0.729849916620345</v>
      </c>
      <c r="K81" s="8" t="n">
        <v>10.58</v>
      </c>
      <c r="L81" s="8" t="n">
        <f aca="false">K81-D81</f>
        <v>5.72</v>
      </c>
      <c r="M81" s="9" t="n">
        <f aca="false">IFERROR(L81/K81,"")</f>
        <v>0.540642722117202</v>
      </c>
      <c r="N81" s="8" t="n">
        <v>8.07</v>
      </c>
      <c r="O81" s="8" t="n">
        <f aca="false">N81-D81</f>
        <v>3.21</v>
      </c>
      <c r="P81" s="9" t="n">
        <f aca="false">IFERROR(O81/N81,"")</f>
        <v>0.397769516728625</v>
      </c>
      <c r="Q81" s="8" t="n">
        <v>7.09</v>
      </c>
      <c r="R81" s="8" t="n">
        <f aca="false">Q81-D81</f>
        <v>2.23</v>
      </c>
      <c r="S81" s="9" t="n">
        <f aca="false">IFERROR(R81/Q81,"")</f>
        <v>0.314527503526093</v>
      </c>
    </row>
    <row r="82" customFormat="false" ht="15" hidden="false" customHeight="false" outlineLevel="0" collapsed="false">
      <c r="A82" s="10" t="s">
        <v>109</v>
      </c>
      <c r="B82" s="11" t="s">
        <v>25</v>
      </c>
      <c r="C82" s="10" t="s">
        <v>110</v>
      </c>
      <c r="D82" s="12" t="n">
        <v>5.35</v>
      </c>
      <c r="E82" s="12" t="n">
        <v>27.63</v>
      </c>
      <c r="F82" s="12" t="n">
        <f aca="false">E82-D82</f>
        <v>22.28</v>
      </c>
      <c r="G82" s="13" t="n">
        <f aca="false">IFERROR(F82/E82,"")</f>
        <v>0.806369887803113</v>
      </c>
      <c r="H82" s="12" t="n">
        <v>15.9</v>
      </c>
      <c r="I82" s="12" t="n">
        <f aca="false">H82-D82</f>
        <v>10.55</v>
      </c>
      <c r="J82" s="13" t="n">
        <f aca="false">IFERROR(I82/H82,"")</f>
        <v>0.663522012578616</v>
      </c>
      <c r="K82" s="12" t="n">
        <v>11.54</v>
      </c>
      <c r="L82" s="12" t="n">
        <f aca="false">K82-D82</f>
        <v>6.19</v>
      </c>
      <c r="M82" s="13" t="n">
        <f aca="false">IFERROR(L82/K82,"")</f>
        <v>0.536395147313692</v>
      </c>
      <c r="N82" s="12" t="n">
        <v>8.25</v>
      </c>
      <c r="O82" s="12" t="n">
        <f aca="false">N82-D82</f>
        <v>2.9</v>
      </c>
      <c r="P82" s="13" t="n">
        <f aca="false">IFERROR(O82/N82,"")</f>
        <v>0.351515151515152</v>
      </c>
      <c r="Q82" s="12" t="n">
        <v>7.37</v>
      </c>
      <c r="R82" s="12" t="n">
        <f aca="false">Q82-D82</f>
        <v>2.02</v>
      </c>
      <c r="S82" s="13" t="n">
        <f aca="false">IFERROR(R82/Q82,"")</f>
        <v>0.274084124830394</v>
      </c>
    </row>
    <row r="83" customFormat="false" ht="15" hidden="false" customHeight="false" outlineLevel="0" collapsed="false">
      <c r="A83" s="6" t="s">
        <v>111</v>
      </c>
      <c r="B83" s="7" t="s">
        <v>27</v>
      </c>
      <c r="C83" s="6" t="s">
        <v>112</v>
      </c>
      <c r="D83" s="8" t="n">
        <v>4.03</v>
      </c>
      <c r="E83" s="8" t="n">
        <v>32.63</v>
      </c>
      <c r="F83" s="8" t="n">
        <f aca="false">E83-D83</f>
        <v>28.6</v>
      </c>
      <c r="G83" s="9" t="n">
        <f aca="false">IFERROR(F83/E83,"")</f>
        <v>0.876494023904383</v>
      </c>
      <c r="H83" s="8" t="n">
        <v>20.4</v>
      </c>
      <c r="I83" s="8" t="n">
        <f aca="false">H83-D83</f>
        <v>16.37</v>
      </c>
      <c r="J83" s="9" t="n">
        <f aca="false">IFERROR(I83/H83,"")</f>
        <v>0.802450980392157</v>
      </c>
      <c r="K83" s="8" t="n">
        <v>11.48</v>
      </c>
      <c r="L83" s="8" t="n">
        <f aca="false">K83-D83</f>
        <v>7.45</v>
      </c>
      <c r="M83" s="9" t="n">
        <f aca="false">IFERROR(L83/K83,"")</f>
        <v>0.648954703832753</v>
      </c>
      <c r="N83" s="8" t="n">
        <v>14.12</v>
      </c>
      <c r="O83" s="8" t="n">
        <f aca="false">N83-D83</f>
        <v>10.09</v>
      </c>
      <c r="P83" s="9" t="n">
        <f aca="false">IFERROR(O83/N83,"")</f>
        <v>0.714589235127479</v>
      </c>
      <c r="Q83" s="8" t="n">
        <v>12.34</v>
      </c>
      <c r="R83" s="8" t="n">
        <f aca="false">Q83-D83</f>
        <v>8.31</v>
      </c>
      <c r="S83" s="9" t="n">
        <f aca="false">IFERROR(R83/Q83,"")</f>
        <v>0.673419773095624</v>
      </c>
    </row>
    <row r="84" customFormat="false" ht="15" hidden="false" customHeight="false" outlineLevel="0" collapsed="false">
      <c r="A84" s="10" t="s">
        <v>113</v>
      </c>
      <c r="B84" s="11" t="s">
        <v>27</v>
      </c>
      <c r="C84" s="10" t="s">
        <v>114</v>
      </c>
      <c r="D84" s="12" t="n">
        <v>5.03</v>
      </c>
      <c r="E84" s="12" t="n">
        <v>32</v>
      </c>
      <c r="F84" s="12" t="n">
        <f aca="false">E84-D84</f>
        <v>26.97</v>
      </c>
      <c r="G84" s="13" t="n">
        <f aca="false">IFERROR(F84/E84,"")</f>
        <v>0.8428125</v>
      </c>
      <c r="H84" s="12" t="n">
        <v>17.63</v>
      </c>
      <c r="I84" s="12" t="n">
        <f aca="false">H84-D84</f>
        <v>12.6</v>
      </c>
      <c r="J84" s="13" t="n">
        <f aca="false">IFERROR(I84/H84,"")</f>
        <v>0.714690867838911</v>
      </c>
      <c r="K84" s="12" t="n">
        <v>10.7</v>
      </c>
      <c r="L84" s="12" t="n">
        <f aca="false">K84-D84</f>
        <v>5.67</v>
      </c>
      <c r="M84" s="13" t="n">
        <f aca="false">IFERROR(L84/K84,"")</f>
        <v>0.529906542056075</v>
      </c>
      <c r="N84" s="12" t="n">
        <v>7.49</v>
      </c>
      <c r="O84" s="12" t="n">
        <f aca="false">N84-D84</f>
        <v>2.46</v>
      </c>
      <c r="P84" s="13" t="n">
        <f aca="false">IFERROR(O84/N84,"")</f>
        <v>0.328437917222964</v>
      </c>
      <c r="Q84" s="12" t="n">
        <v>7.46</v>
      </c>
      <c r="R84" s="12" t="n">
        <f aca="false">Q84-D84</f>
        <v>2.43</v>
      </c>
      <c r="S84" s="13" t="n">
        <f aca="false">IFERROR(R84/Q84,"")</f>
        <v>0.32573726541555</v>
      </c>
    </row>
    <row r="85" customFormat="false" ht="15" hidden="false" customHeight="false" outlineLevel="0" collapsed="false">
      <c r="A85" s="6" t="s">
        <v>113</v>
      </c>
      <c r="B85" s="7" t="s">
        <v>23</v>
      </c>
      <c r="C85" s="6" t="s">
        <v>114</v>
      </c>
      <c r="D85" s="8" t="n">
        <v>5.67</v>
      </c>
      <c r="E85" s="8" t="n">
        <v>34.67</v>
      </c>
      <c r="F85" s="8" t="n">
        <f aca="false">E85-D85</f>
        <v>29</v>
      </c>
      <c r="G85" s="9" t="n">
        <f aca="false">IFERROR(F85/E85,"")</f>
        <v>0.836458032881454</v>
      </c>
      <c r="H85" s="8" t="n">
        <v>19</v>
      </c>
      <c r="I85" s="8" t="n">
        <f aca="false">H85-D85</f>
        <v>13.33</v>
      </c>
      <c r="J85" s="9" t="n">
        <f aca="false">IFERROR(I85/H85,"")</f>
        <v>0.701578947368421</v>
      </c>
      <c r="K85" s="8" t="n">
        <v>12.77</v>
      </c>
      <c r="L85" s="8" t="n">
        <f aca="false">K85-D85</f>
        <v>7.1</v>
      </c>
      <c r="M85" s="9" t="n">
        <f aca="false">IFERROR(L85/K85,"")</f>
        <v>0.555990602975724</v>
      </c>
      <c r="N85" s="8" t="n">
        <v>8.27</v>
      </c>
      <c r="O85" s="8" t="n">
        <f aca="false">N85-D85</f>
        <v>2.6</v>
      </c>
      <c r="P85" s="9" t="n">
        <f aca="false">IFERROR(O85/N85,"")</f>
        <v>0.314389359129383</v>
      </c>
      <c r="Q85" s="8" t="n">
        <v>8.25</v>
      </c>
      <c r="R85" s="8" t="n">
        <f aca="false">Q85-D85</f>
        <v>2.58</v>
      </c>
      <c r="S85" s="9" t="n">
        <f aca="false">IFERROR(R85/Q85,"")</f>
        <v>0.312727272727273</v>
      </c>
    </row>
    <row r="86" customFormat="false" ht="15" hidden="false" customHeight="false" outlineLevel="0" collapsed="false">
      <c r="A86" s="10" t="s">
        <v>113</v>
      </c>
      <c r="B86" s="11" t="s">
        <v>25</v>
      </c>
      <c r="C86" s="10" t="s">
        <v>114</v>
      </c>
      <c r="D86" s="12" t="n">
        <v>6.24</v>
      </c>
      <c r="E86" s="12" t="n">
        <v>37.07</v>
      </c>
      <c r="F86" s="12" t="n">
        <f aca="false">E86-D86</f>
        <v>30.83</v>
      </c>
      <c r="G86" s="13" t="n">
        <f aca="false">IFERROR(F86/E86,"")</f>
        <v>0.83166981386566</v>
      </c>
      <c r="H86" s="12" t="n">
        <v>21.4</v>
      </c>
      <c r="I86" s="12" t="n">
        <f aca="false">H86-D86</f>
        <v>15.16</v>
      </c>
      <c r="J86" s="13" t="n">
        <f aca="false">IFERROR(I86/H86,"")</f>
        <v>0.708411214953271</v>
      </c>
      <c r="K86" s="12" t="n">
        <v>16.25</v>
      </c>
      <c r="L86" s="12" t="n">
        <f aca="false">K86-D86</f>
        <v>10.01</v>
      </c>
      <c r="M86" s="13" t="n">
        <f aca="false">IFERROR(L86/K86,"")</f>
        <v>0.616</v>
      </c>
      <c r="N86" s="12" t="n">
        <v>14.45</v>
      </c>
      <c r="O86" s="12" t="n">
        <f aca="false">N86-D86</f>
        <v>8.21</v>
      </c>
      <c r="P86" s="13" t="n">
        <f aca="false">IFERROR(O86/N86,"")</f>
        <v>0.568166089965398</v>
      </c>
      <c r="Q86" s="12" t="n">
        <v>13.8</v>
      </c>
      <c r="R86" s="12" t="n">
        <f aca="false">Q86-D86</f>
        <v>7.56</v>
      </c>
      <c r="S86" s="13" t="n">
        <f aca="false">IFERROR(R86/Q86,"")</f>
        <v>0.547826086956522</v>
      </c>
    </row>
    <row r="87" customFormat="false" ht="15" hidden="false" customHeight="false" outlineLevel="0" collapsed="false">
      <c r="A87" s="6" t="s">
        <v>115</v>
      </c>
      <c r="B87" s="7" t="s">
        <v>27</v>
      </c>
      <c r="C87" s="6" t="s">
        <v>116</v>
      </c>
      <c r="D87" s="8" t="n">
        <v>5.49</v>
      </c>
      <c r="E87" s="8" t="n">
        <v>42.07</v>
      </c>
      <c r="F87" s="8" t="n">
        <f aca="false">E87-D87</f>
        <v>36.58</v>
      </c>
      <c r="G87" s="9" t="n">
        <f aca="false">IFERROR(F87/E87,"")</f>
        <v>0.869503208937485</v>
      </c>
      <c r="H87" s="8" t="n">
        <v>22.25</v>
      </c>
      <c r="I87" s="8" t="n">
        <f aca="false">H87-D87</f>
        <v>16.76</v>
      </c>
      <c r="J87" s="9" t="n">
        <f aca="false">IFERROR(I87/H87,"")</f>
        <v>0.753258426966292</v>
      </c>
      <c r="K87" s="8" t="n">
        <v>16.13</v>
      </c>
      <c r="L87" s="8" t="n">
        <f aca="false">K87-D87</f>
        <v>10.64</v>
      </c>
      <c r="M87" s="9" t="n">
        <f aca="false">IFERROR(L87/K87,"")</f>
        <v>0.659640421574706</v>
      </c>
      <c r="N87" s="8" t="n">
        <v>12.86</v>
      </c>
      <c r="O87" s="8" t="n">
        <f aca="false">N87-D87</f>
        <v>7.37</v>
      </c>
      <c r="P87" s="9" t="n">
        <f aca="false">IFERROR(O87/N87,"")</f>
        <v>0.573094867807154</v>
      </c>
      <c r="Q87" s="8" t="n">
        <v>14.43</v>
      </c>
      <c r="R87" s="8" t="n">
        <f aca="false">Q87-D87</f>
        <v>8.94</v>
      </c>
      <c r="S87" s="9" t="n">
        <f aca="false">IFERROR(R87/Q87,"")</f>
        <v>0.61954261954262</v>
      </c>
    </row>
    <row r="88" customFormat="false" ht="15" hidden="false" customHeight="false" outlineLevel="0" collapsed="false">
      <c r="A88" s="10" t="s">
        <v>115</v>
      </c>
      <c r="B88" s="11" t="s">
        <v>23</v>
      </c>
      <c r="C88" s="10" t="s">
        <v>116</v>
      </c>
      <c r="D88" s="12" t="n">
        <v>6.23</v>
      </c>
      <c r="E88" s="12" t="n">
        <v>49</v>
      </c>
      <c r="F88" s="12" t="n">
        <f aca="false">E88-D88</f>
        <v>42.77</v>
      </c>
      <c r="G88" s="13" t="n">
        <f aca="false">IFERROR(F88/E88,"")</f>
        <v>0.872857142857143</v>
      </c>
      <c r="H88" s="12" t="n">
        <v>25.99</v>
      </c>
      <c r="I88" s="12" t="n">
        <f aca="false">H88-D88</f>
        <v>19.76</v>
      </c>
      <c r="J88" s="13" t="n">
        <f aca="false">IFERROR(I88/H88,"")</f>
        <v>0.760292420161601</v>
      </c>
      <c r="K88" s="12" t="n">
        <v>19.13</v>
      </c>
      <c r="L88" s="12" t="n">
        <f aca="false">K88-D88</f>
        <v>12.9</v>
      </c>
      <c r="M88" s="13" t="n">
        <f aca="false">IFERROR(L88/K88,"")</f>
        <v>0.674333507579718</v>
      </c>
      <c r="N88" s="12" t="n">
        <v>17</v>
      </c>
      <c r="O88" s="12" t="n">
        <f aca="false">N88-D88</f>
        <v>10.77</v>
      </c>
      <c r="P88" s="13" t="n">
        <f aca="false">IFERROR(O88/N88,"")</f>
        <v>0.633529411764706</v>
      </c>
      <c r="Q88" s="12" t="n">
        <v>13.91</v>
      </c>
      <c r="R88" s="12" t="n">
        <f aca="false">Q88-D88</f>
        <v>7.68</v>
      </c>
      <c r="S88" s="13" t="n">
        <f aca="false">IFERROR(R88/Q88,"")</f>
        <v>0.552120776419842</v>
      </c>
    </row>
    <row r="89" customFormat="false" ht="15" hidden="false" customHeight="false" outlineLevel="0" collapsed="false">
      <c r="A89" s="6" t="s">
        <v>115</v>
      </c>
      <c r="B89" s="7" t="s">
        <v>25</v>
      </c>
      <c r="C89" s="6" t="s">
        <v>116</v>
      </c>
      <c r="D89" s="8" t="n">
        <v>6.85</v>
      </c>
      <c r="E89" s="8" t="n">
        <v>45.05</v>
      </c>
      <c r="F89" s="8" t="n">
        <f aca="false">E89-D89</f>
        <v>38.2</v>
      </c>
      <c r="G89" s="9" t="n">
        <f aca="false">IFERROR(F89/E89,"")</f>
        <v>0.847946725860155</v>
      </c>
      <c r="H89" s="8" t="n">
        <v>24.23</v>
      </c>
      <c r="I89" s="8" t="n">
        <f aca="false">H89-D89</f>
        <v>17.38</v>
      </c>
      <c r="J89" s="9" t="n">
        <f aca="false">IFERROR(I89/H89,"")</f>
        <v>0.717292612463888</v>
      </c>
      <c r="K89" s="8" t="n">
        <v>21.2</v>
      </c>
      <c r="L89" s="8" t="n">
        <f aca="false">K89-D89</f>
        <v>14.35</v>
      </c>
      <c r="M89" s="9" t="n">
        <f aca="false">IFERROR(L89/K89,"")</f>
        <v>0.67688679245283</v>
      </c>
      <c r="N89" s="8" t="n">
        <v>15.65</v>
      </c>
      <c r="O89" s="8" t="n">
        <f aca="false">N89-D89</f>
        <v>8.8</v>
      </c>
      <c r="P89" s="9" t="n">
        <f aca="false">IFERROR(O89/N89,"")</f>
        <v>0.562300319488818</v>
      </c>
      <c r="Q89" s="8" t="n">
        <v>17.57</v>
      </c>
      <c r="R89" s="8" t="n">
        <f aca="false">Q89-D89</f>
        <v>10.72</v>
      </c>
      <c r="S89" s="9" t="n">
        <f aca="false">IFERROR(R89/Q89,"")</f>
        <v>0.610130904951622</v>
      </c>
    </row>
    <row r="90" customFormat="false" ht="15" hidden="false" customHeight="false" outlineLevel="0" collapsed="false">
      <c r="A90" s="10" t="s">
        <v>117</v>
      </c>
      <c r="B90" s="11" t="s">
        <v>27</v>
      </c>
      <c r="C90" s="10" t="s">
        <v>118</v>
      </c>
      <c r="D90" s="12" t="n">
        <v>4.56</v>
      </c>
      <c r="E90" s="12" t="n">
        <v>30</v>
      </c>
      <c r="F90" s="12" t="n">
        <f aca="false">E90-D90</f>
        <v>25.44</v>
      </c>
      <c r="G90" s="13" t="n">
        <f aca="false">IFERROR(F90/E90,"")</f>
        <v>0.848</v>
      </c>
      <c r="H90" s="12" t="n">
        <v>18.99</v>
      </c>
      <c r="I90" s="12" t="n">
        <f aca="false">H90-D90</f>
        <v>14.43</v>
      </c>
      <c r="J90" s="13" t="n">
        <f aca="false">IFERROR(I90/H90,"")</f>
        <v>0.759873617693523</v>
      </c>
      <c r="K90" s="12" t="n">
        <v>15.94</v>
      </c>
      <c r="L90" s="12" t="n">
        <f aca="false">K90-D90</f>
        <v>11.38</v>
      </c>
      <c r="M90" s="13" t="n">
        <f aca="false">IFERROR(L90/K90,"")</f>
        <v>0.713927227101631</v>
      </c>
      <c r="N90" s="12" t="n">
        <v>12.89</v>
      </c>
      <c r="O90" s="12" t="n">
        <f aca="false">N90-D90</f>
        <v>8.33</v>
      </c>
      <c r="P90" s="13" t="n">
        <f aca="false">IFERROR(O90/N90,"")</f>
        <v>0.646237393328161</v>
      </c>
      <c r="Q90" s="12" t="n">
        <v>12.19</v>
      </c>
      <c r="R90" s="12" t="n">
        <f aca="false">Q90-D90</f>
        <v>7.63</v>
      </c>
      <c r="S90" s="13" t="n">
        <f aca="false">IFERROR(R90/Q90,"")</f>
        <v>0.625922887612797</v>
      </c>
    </row>
    <row r="91" customFormat="false" ht="15" hidden="false" customHeight="false" outlineLevel="0" collapsed="false">
      <c r="A91" s="6" t="s">
        <v>119</v>
      </c>
      <c r="B91" s="7" t="s">
        <v>27</v>
      </c>
      <c r="C91" s="6" t="s">
        <v>120</v>
      </c>
      <c r="D91" s="8" t="n">
        <v>4.64</v>
      </c>
      <c r="E91" s="8" t="n">
        <v>28.2</v>
      </c>
      <c r="F91" s="8" t="n">
        <f aca="false">E91-D91</f>
        <v>23.56</v>
      </c>
      <c r="G91" s="9" t="n">
        <f aca="false">IFERROR(F91/E91,"")</f>
        <v>0.835460992907801</v>
      </c>
      <c r="H91" s="8" t="n">
        <v>17.86</v>
      </c>
      <c r="I91" s="8" t="n">
        <f aca="false">H91-D91</f>
        <v>13.22</v>
      </c>
      <c r="J91" s="9" t="n">
        <f aca="false">IFERROR(I91/H91,"")</f>
        <v>0.74020156774916</v>
      </c>
      <c r="K91" s="8" t="n">
        <v>15.09</v>
      </c>
      <c r="L91" s="8" t="n">
        <f aca="false">K91-D91</f>
        <v>10.45</v>
      </c>
      <c r="M91" s="9" t="n">
        <f aca="false">IFERROR(L91/K91,"")</f>
        <v>0.692511597084162</v>
      </c>
      <c r="N91" s="8" t="n">
        <v>12.74</v>
      </c>
      <c r="O91" s="8" t="n">
        <f aca="false">N91-D91</f>
        <v>8.1</v>
      </c>
      <c r="P91" s="9" t="n">
        <f aca="false">IFERROR(O91/N91,"")</f>
        <v>0.635792778649922</v>
      </c>
      <c r="Q91" s="8" t="n">
        <v>11.67</v>
      </c>
      <c r="R91" s="8" t="n">
        <f aca="false">Q91-D91</f>
        <v>7.03</v>
      </c>
      <c r="S91" s="9" t="n">
        <f aca="false">IFERROR(R91/Q91,"")</f>
        <v>0.602399314481577</v>
      </c>
    </row>
    <row r="92" customFormat="false" ht="15" hidden="false" customHeight="false" outlineLevel="0" collapsed="false">
      <c r="A92" s="10" t="s">
        <v>121</v>
      </c>
      <c r="B92" s="11" t="s">
        <v>27</v>
      </c>
      <c r="C92" s="10" t="s">
        <v>122</v>
      </c>
      <c r="D92" s="12" t="n">
        <v>4.54</v>
      </c>
      <c r="E92" s="12" t="n">
        <v>26.14</v>
      </c>
      <c r="F92" s="12" t="n">
        <f aca="false">E92-D92</f>
        <v>21.6</v>
      </c>
      <c r="G92" s="13" t="n">
        <f aca="false">IFERROR(F92/E92,"")</f>
        <v>0.826319816373374</v>
      </c>
      <c r="H92" s="12" t="n">
        <v>25.38</v>
      </c>
      <c r="I92" s="12" t="n">
        <f aca="false">H92-D92</f>
        <v>20.84</v>
      </c>
      <c r="J92" s="13" t="n">
        <f aca="false">IFERROR(I92/H92,"")</f>
        <v>0.821118991331757</v>
      </c>
      <c r="K92" s="12" t="n">
        <v>9.57</v>
      </c>
      <c r="L92" s="12" t="n">
        <f aca="false">K92-D92</f>
        <v>5.03</v>
      </c>
      <c r="M92" s="13" t="n">
        <f aca="false">IFERROR(L92/K92,"")</f>
        <v>0.525600835945664</v>
      </c>
      <c r="N92" s="12" t="n">
        <v>7.79</v>
      </c>
      <c r="O92" s="12" t="n">
        <f aca="false">N92-D92</f>
        <v>3.25</v>
      </c>
      <c r="P92" s="13" t="n">
        <f aca="false">IFERROR(O92/N92,"")</f>
        <v>0.417201540436457</v>
      </c>
      <c r="Q92" s="12" t="n">
        <v>13.68</v>
      </c>
      <c r="R92" s="12" t="n">
        <f aca="false">Q92-D92</f>
        <v>9.14</v>
      </c>
      <c r="S92" s="13" t="n">
        <f aca="false">IFERROR(R92/Q92,"")</f>
        <v>0.66812865497076</v>
      </c>
    </row>
    <row r="93" customFormat="false" ht="15" hidden="false" customHeight="false" outlineLevel="0" collapsed="false">
      <c r="A93" s="6" t="s">
        <v>123</v>
      </c>
      <c r="B93" s="7" t="s">
        <v>27</v>
      </c>
      <c r="C93" s="6" t="s">
        <v>124</v>
      </c>
      <c r="D93" s="8" t="n">
        <v>4.6</v>
      </c>
      <c r="E93" s="8" t="n">
        <v>23.94</v>
      </c>
      <c r="F93" s="8" t="n">
        <f aca="false">E93-D93</f>
        <v>19.34</v>
      </c>
      <c r="G93" s="9" t="n">
        <f aca="false">IFERROR(F93/E93,"")</f>
        <v>0.807852965747703</v>
      </c>
      <c r="H93" s="8" t="n">
        <v>15.43</v>
      </c>
      <c r="I93" s="8" t="n">
        <f aca="false">H93-D93</f>
        <v>10.83</v>
      </c>
      <c r="J93" s="9" t="n">
        <f aca="false">IFERROR(I93/H93,"")</f>
        <v>0.701879455605962</v>
      </c>
      <c r="K93" s="8" t="n">
        <v>10.22</v>
      </c>
      <c r="L93" s="8" t="n">
        <f aca="false">K93-D93</f>
        <v>5.62</v>
      </c>
      <c r="M93" s="9" t="n">
        <f aca="false">IFERROR(L93/K93,"")</f>
        <v>0.549902152641879</v>
      </c>
      <c r="N93" s="8" t="n">
        <v>7.79</v>
      </c>
      <c r="O93" s="8" t="n">
        <f aca="false">N93-D93</f>
        <v>3.19</v>
      </c>
      <c r="P93" s="9" t="n">
        <f aca="false">IFERROR(O93/N93,"")</f>
        <v>0.409499358151476</v>
      </c>
      <c r="Q93" s="8" t="n">
        <v>7.59</v>
      </c>
      <c r="R93" s="8" t="n">
        <f aca="false">Q93-D93</f>
        <v>2.99</v>
      </c>
      <c r="S93" s="9" t="n">
        <f aca="false">IFERROR(R93/Q93,"")</f>
        <v>0.393939393939394</v>
      </c>
    </row>
    <row r="94" customFormat="false" ht="15" hidden="false" customHeight="false" outlineLevel="0" collapsed="false">
      <c r="A94" s="10" t="s">
        <v>125</v>
      </c>
      <c r="B94" s="11" t="s">
        <v>27</v>
      </c>
      <c r="C94" s="10" t="s">
        <v>126</v>
      </c>
      <c r="D94" s="12" t="n">
        <v>4.4</v>
      </c>
      <c r="E94" s="12" t="n">
        <v>31.01</v>
      </c>
      <c r="F94" s="12" t="n">
        <f aca="false">E94-D94</f>
        <v>26.61</v>
      </c>
      <c r="G94" s="13" t="n">
        <f aca="false">IFERROR(F94/E94,"")</f>
        <v>0.858110287004192</v>
      </c>
      <c r="H94" s="12" t="n">
        <v>18.8</v>
      </c>
      <c r="I94" s="12" t="n">
        <f aca="false">H94-D94</f>
        <v>14.4</v>
      </c>
      <c r="J94" s="13" t="n">
        <f aca="false">IFERROR(I94/H94,"")</f>
        <v>0.765957446808511</v>
      </c>
      <c r="K94" s="12" t="n">
        <v>12.54</v>
      </c>
      <c r="L94" s="12" t="n">
        <f aca="false">K94-D94</f>
        <v>8.14</v>
      </c>
      <c r="M94" s="13" t="n">
        <f aca="false">IFERROR(L94/K94,"")</f>
        <v>0.649122807017544</v>
      </c>
      <c r="N94" s="12" t="n">
        <v>11.12</v>
      </c>
      <c r="O94" s="12" t="n">
        <f aca="false">N94-D94</f>
        <v>6.72</v>
      </c>
      <c r="P94" s="13" t="n">
        <f aca="false">IFERROR(O94/N94,"")</f>
        <v>0.60431654676259</v>
      </c>
      <c r="Q94" s="12" t="n">
        <v>7.92</v>
      </c>
      <c r="R94" s="12" t="n">
        <f aca="false">Q94-D94</f>
        <v>3.52</v>
      </c>
      <c r="S94" s="13" t="n">
        <f aca="false">IFERROR(R94/Q94,"")</f>
        <v>0.444444444444444</v>
      </c>
    </row>
    <row r="95" customFormat="false" ht="15" hidden="false" customHeight="false" outlineLevel="0" collapsed="false">
      <c r="A95" s="6" t="s">
        <v>125</v>
      </c>
      <c r="B95" s="7" t="s">
        <v>23</v>
      </c>
      <c r="C95" s="6" t="s">
        <v>126</v>
      </c>
      <c r="D95" s="8" t="n">
        <v>4.68</v>
      </c>
      <c r="E95" s="8" t="n">
        <v>33.01</v>
      </c>
      <c r="F95" s="8" t="n">
        <f aca="false">E95-D95</f>
        <v>28.33</v>
      </c>
      <c r="G95" s="9" t="n">
        <f aca="false">IFERROR(F95/E95,"")</f>
        <v>0.858224780369585</v>
      </c>
      <c r="H95" s="8" t="n">
        <v>20.62</v>
      </c>
      <c r="I95" s="8" t="n">
        <f aca="false">H95-D95</f>
        <v>15.94</v>
      </c>
      <c r="J95" s="9" t="n">
        <f aca="false">IFERROR(I95/H95,"")</f>
        <v>0.773035887487876</v>
      </c>
      <c r="K95" s="8" t="n">
        <v>17.97</v>
      </c>
      <c r="L95" s="8" t="n">
        <f aca="false">K95-D95</f>
        <v>13.29</v>
      </c>
      <c r="M95" s="9" t="n">
        <f aca="false">IFERROR(L95/K95,"")</f>
        <v>0.739565943238731</v>
      </c>
      <c r="N95" s="8" t="n">
        <v>16.21</v>
      </c>
      <c r="O95" s="8" t="n">
        <f aca="false">N95-D95</f>
        <v>11.53</v>
      </c>
      <c r="P95" s="9" t="n">
        <f aca="false">IFERROR(O95/N95,"")</f>
        <v>0.711289327575571</v>
      </c>
      <c r="Q95" s="8" t="n">
        <v>14.48</v>
      </c>
      <c r="R95" s="8" t="n">
        <f aca="false">Q95-D95</f>
        <v>9.8</v>
      </c>
      <c r="S95" s="9" t="n">
        <f aca="false">IFERROR(R95/Q95,"")</f>
        <v>0.676795580110497</v>
      </c>
    </row>
    <row r="96" customFormat="false" ht="15" hidden="false" customHeight="false" outlineLevel="0" collapsed="false">
      <c r="A96" s="10" t="s">
        <v>125</v>
      </c>
      <c r="B96" s="11" t="s">
        <v>25</v>
      </c>
      <c r="C96" s="10" t="s">
        <v>126</v>
      </c>
      <c r="D96" s="12" t="n">
        <v>5.15</v>
      </c>
      <c r="E96" s="12" t="n">
        <v>31.75</v>
      </c>
      <c r="F96" s="12" t="n">
        <f aca="false">E96-D96</f>
        <v>26.6</v>
      </c>
      <c r="G96" s="13" t="n">
        <f aca="false">IFERROR(F96/E96,"")</f>
        <v>0.837795275590551</v>
      </c>
      <c r="H96" s="12" t="n">
        <v>19.58</v>
      </c>
      <c r="I96" s="12" t="n">
        <f aca="false">H96-D96</f>
        <v>14.43</v>
      </c>
      <c r="J96" s="13" t="n">
        <f aca="false">IFERROR(I96/H96,"")</f>
        <v>0.736976506639428</v>
      </c>
      <c r="K96" s="12" t="n">
        <v>15.76</v>
      </c>
      <c r="L96" s="12" t="n">
        <f aca="false">K96-D96</f>
        <v>10.61</v>
      </c>
      <c r="M96" s="13" t="n">
        <f aca="false">IFERROR(L96/K96,"")</f>
        <v>0.673223350253807</v>
      </c>
      <c r="N96" s="12" t="n">
        <v>12.94</v>
      </c>
      <c r="O96" s="12" t="n">
        <f aca="false">N96-D96</f>
        <v>7.79</v>
      </c>
      <c r="P96" s="13" t="n">
        <f aca="false">IFERROR(O96/N96,"")</f>
        <v>0.602009273570325</v>
      </c>
      <c r="Q96" s="12" t="n">
        <v>9.21</v>
      </c>
      <c r="R96" s="12" t="n">
        <f aca="false">Q96-D96</f>
        <v>4.06</v>
      </c>
      <c r="S96" s="13" t="n">
        <f aca="false">IFERROR(R96/Q96,"")</f>
        <v>0.440825190010858</v>
      </c>
    </row>
    <row r="97" customFormat="false" ht="15" hidden="false" customHeight="false" outlineLevel="0" collapsed="false">
      <c r="A97" s="6" t="s">
        <v>127</v>
      </c>
      <c r="B97" s="7" t="s">
        <v>27</v>
      </c>
      <c r="C97" s="6" t="s">
        <v>128</v>
      </c>
      <c r="D97" s="8" t="n">
        <v>4.46</v>
      </c>
      <c r="E97" s="8" t="n">
        <v>39.48</v>
      </c>
      <c r="F97" s="8" t="n">
        <f aca="false">E97-D97</f>
        <v>35.02</v>
      </c>
      <c r="G97" s="9" t="n">
        <f aca="false">IFERROR(F97/E97,"")</f>
        <v>0.887031408308004</v>
      </c>
      <c r="H97" s="8" t="n">
        <v>17</v>
      </c>
      <c r="I97" s="8" t="n">
        <f aca="false">H97-D97</f>
        <v>12.54</v>
      </c>
      <c r="J97" s="9" t="n">
        <f aca="false">IFERROR(I97/H97,"")</f>
        <v>0.737647058823529</v>
      </c>
      <c r="K97" s="8" t="n">
        <v>13.39</v>
      </c>
      <c r="L97" s="8" t="n">
        <f aca="false">K97-D97</f>
        <v>8.93</v>
      </c>
      <c r="M97" s="9" t="n">
        <f aca="false">IFERROR(L97/K97,"")</f>
        <v>0.666915608663181</v>
      </c>
      <c r="N97" s="8" t="n">
        <v>11.34</v>
      </c>
      <c r="O97" s="8" t="n">
        <f aca="false">N97-D97</f>
        <v>6.88</v>
      </c>
      <c r="P97" s="9" t="n">
        <f aca="false">IFERROR(O97/N97,"")</f>
        <v>0.606701940035273</v>
      </c>
      <c r="Q97" s="8" t="n">
        <v>10.49</v>
      </c>
      <c r="R97" s="8" t="n">
        <f aca="false">Q97-D97</f>
        <v>6.03</v>
      </c>
      <c r="S97" s="9" t="n">
        <f aca="false">IFERROR(R97/Q97,"")</f>
        <v>0.574833174451859</v>
      </c>
    </row>
    <row r="98" customFormat="false" ht="15" hidden="false" customHeight="false" outlineLevel="0" collapsed="false">
      <c r="A98" s="10" t="s">
        <v>129</v>
      </c>
      <c r="B98" s="11" t="s">
        <v>27</v>
      </c>
      <c r="C98" s="10" t="s">
        <v>130</v>
      </c>
      <c r="D98" s="12" t="n">
        <v>4.33</v>
      </c>
      <c r="E98" s="12" t="n">
        <v>34.05</v>
      </c>
      <c r="F98" s="12" t="n">
        <f aca="false">E98-D98</f>
        <v>29.72</v>
      </c>
      <c r="G98" s="13" t="n">
        <f aca="false">IFERROR(F98/E98,"")</f>
        <v>0.872834067547724</v>
      </c>
      <c r="H98" s="12" t="n">
        <v>17.57</v>
      </c>
      <c r="I98" s="12" t="n">
        <f aca="false">H98-D98</f>
        <v>13.24</v>
      </c>
      <c r="J98" s="13" t="n">
        <f aca="false">IFERROR(I98/H98,"")</f>
        <v>0.753557199772339</v>
      </c>
      <c r="K98" s="12" t="n">
        <v>12.74</v>
      </c>
      <c r="L98" s="12" t="n">
        <f aca="false">K98-D98</f>
        <v>8.41</v>
      </c>
      <c r="M98" s="13" t="n">
        <f aca="false">IFERROR(L98/K98,"")</f>
        <v>0.660125588697017</v>
      </c>
      <c r="N98" s="12" t="n">
        <v>11.3</v>
      </c>
      <c r="O98" s="12" t="n">
        <f aca="false">N98-D98</f>
        <v>6.97</v>
      </c>
      <c r="P98" s="13" t="n">
        <f aca="false">IFERROR(O98/N98,"")</f>
        <v>0.616814159292035</v>
      </c>
      <c r="Q98" s="12" t="n">
        <v>10.6</v>
      </c>
      <c r="R98" s="12" t="n">
        <f aca="false">Q98-D98</f>
        <v>6.27</v>
      </c>
      <c r="S98" s="13" t="n">
        <f aca="false">IFERROR(R98/Q98,"")</f>
        <v>0.591509433962264</v>
      </c>
    </row>
    <row r="99" customFormat="false" ht="15" hidden="false" customHeight="false" outlineLevel="0" collapsed="false">
      <c r="A99" s="6" t="s">
        <v>131</v>
      </c>
      <c r="B99" s="7" t="s">
        <v>27</v>
      </c>
      <c r="C99" s="6" t="s">
        <v>132</v>
      </c>
      <c r="D99" s="8" t="n">
        <v>4.38</v>
      </c>
      <c r="E99" s="8" t="n">
        <v>34.93</v>
      </c>
      <c r="F99" s="8" t="n">
        <f aca="false">E99-D99</f>
        <v>30.55</v>
      </c>
      <c r="G99" s="9" t="n">
        <f aca="false">IFERROR(F99/E99,"")</f>
        <v>0.87460635556828</v>
      </c>
      <c r="H99" s="8" t="n">
        <v>21.46</v>
      </c>
      <c r="I99" s="8" t="n">
        <f aca="false">H99-D99</f>
        <v>17.08</v>
      </c>
      <c r="J99" s="9" t="n">
        <f aca="false">IFERROR(I99/H99,"")</f>
        <v>0.795899347623486</v>
      </c>
      <c r="K99" s="8" t="n">
        <v>14.54</v>
      </c>
      <c r="L99" s="8" t="n">
        <f aca="false">K99-D99</f>
        <v>10.16</v>
      </c>
      <c r="M99" s="9" t="n">
        <f aca="false">IFERROR(L99/K99,"")</f>
        <v>0.698762035763411</v>
      </c>
      <c r="N99" s="8" t="n">
        <v>13.75</v>
      </c>
      <c r="O99" s="8" t="n">
        <f aca="false">N99-D99</f>
        <v>9.37</v>
      </c>
      <c r="P99" s="9" t="n">
        <f aca="false">IFERROR(O99/N99,"")</f>
        <v>0.681454545454546</v>
      </c>
      <c r="Q99" s="8" t="n">
        <v>9.72</v>
      </c>
      <c r="R99" s="8" t="n">
        <f aca="false">Q99-D99</f>
        <v>5.34</v>
      </c>
      <c r="S99" s="9" t="n">
        <f aca="false">IFERROR(R99/Q99,"")</f>
        <v>0.549382716049383</v>
      </c>
    </row>
    <row r="100" customFormat="false" ht="15" hidden="false" customHeight="false" outlineLevel="0" collapsed="false">
      <c r="A100" s="10" t="s">
        <v>131</v>
      </c>
      <c r="B100" s="11" t="s">
        <v>23</v>
      </c>
      <c r="C100" s="10" t="s">
        <v>132</v>
      </c>
      <c r="D100" s="12" t="n">
        <v>4.75</v>
      </c>
      <c r="E100" s="12" t="n">
        <v>30.82</v>
      </c>
      <c r="F100" s="12" t="n">
        <f aca="false">E100-D100</f>
        <v>26.07</v>
      </c>
      <c r="G100" s="13" t="n">
        <f aca="false">IFERROR(F100/E100,"")</f>
        <v>0.845879299156392</v>
      </c>
      <c r="H100" s="12" t="n">
        <v>19.24</v>
      </c>
      <c r="I100" s="12" t="n">
        <f aca="false">H100-D100</f>
        <v>14.49</v>
      </c>
      <c r="J100" s="13" t="n">
        <f aca="false">IFERROR(I100/H100,"")</f>
        <v>0.753118503118503</v>
      </c>
      <c r="K100" s="12" t="n">
        <v>16.09</v>
      </c>
      <c r="L100" s="12" t="n">
        <f aca="false">K100-D100</f>
        <v>11.34</v>
      </c>
      <c r="M100" s="13" t="n">
        <f aca="false">IFERROR(L100/K100,"")</f>
        <v>0.704785581106277</v>
      </c>
      <c r="N100" s="12" t="n">
        <v>14.02</v>
      </c>
      <c r="O100" s="12" t="n">
        <f aca="false">N100-D100</f>
        <v>9.27</v>
      </c>
      <c r="P100" s="13" t="n">
        <f aca="false">IFERROR(O100/N100,"")</f>
        <v>0.661198288159772</v>
      </c>
      <c r="Q100" s="12" t="n">
        <v>13.3</v>
      </c>
      <c r="R100" s="12" t="n">
        <f aca="false">Q100-D100</f>
        <v>8.55</v>
      </c>
      <c r="S100" s="13" t="n">
        <f aca="false">IFERROR(R100/Q100,"")</f>
        <v>0.642857142857143</v>
      </c>
    </row>
    <row r="101" customFormat="false" ht="15" hidden="false" customHeight="false" outlineLevel="0" collapsed="false">
      <c r="A101" s="6" t="s">
        <v>131</v>
      </c>
      <c r="B101" s="7" t="s">
        <v>25</v>
      </c>
      <c r="C101" s="6" t="s">
        <v>132</v>
      </c>
      <c r="D101" s="8" t="n">
        <v>5.23</v>
      </c>
      <c r="E101" s="8" t="n">
        <v>37.4</v>
      </c>
      <c r="F101" s="8" t="n">
        <f aca="false">E101-D101</f>
        <v>32.17</v>
      </c>
      <c r="G101" s="9" t="n">
        <f aca="false">IFERROR(F101/E101,"")</f>
        <v>0.860160427807487</v>
      </c>
      <c r="H101" s="8" t="n">
        <v>23.37</v>
      </c>
      <c r="I101" s="8" t="n">
        <f aca="false">H101-D101</f>
        <v>18.14</v>
      </c>
      <c r="J101" s="9" t="n">
        <f aca="false">IFERROR(I101/H101,"")</f>
        <v>0.776208814719726</v>
      </c>
      <c r="K101" s="8" t="n">
        <v>19.11</v>
      </c>
      <c r="L101" s="8" t="n">
        <f aca="false">K101-D101</f>
        <v>13.88</v>
      </c>
      <c r="M101" s="9" t="n">
        <f aca="false">IFERROR(L101/K101,"")</f>
        <v>0.726321297749869</v>
      </c>
      <c r="N101" s="8" t="n">
        <v>16.74</v>
      </c>
      <c r="O101" s="8" t="n">
        <f aca="false">N101-D101</f>
        <v>11.51</v>
      </c>
      <c r="P101" s="9" t="n">
        <f aca="false">IFERROR(O101/N101,"")</f>
        <v>0.687574671445639</v>
      </c>
      <c r="Q101" s="8" t="n">
        <v>11.83</v>
      </c>
      <c r="R101" s="8" t="n">
        <f aca="false">Q101-D101</f>
        <v>6.6</v>
      </c>
      <c r="S101" s="9" t="n">
        <f aca="false">IFERROR(R101/Q101,"")</f>
        <v>0.557903634826712</v>
      </c>
    </row>
    <row r="102" customFormat="false" ht="15" hidden="false" customHeight="false" outlineLevel="0" collapsed="false">
      <c r="A102" s="10" t="s">
        <v>133</v>
      </c>
      <c r="B102" s="11" t="s">
        <v>27</v>
      </c>
      <c r="C102" s="10" t="s">
        <v>134</v>
      </c>
      <c r="D102" s="12" t="n">
        <v>4.6</v>
      </c>
      <c r="E102" s="12" t="n">
        <v>28.2</v>
      </c>
      <c r="F102" s="12" t="n">
        <f aca="false">E102-D102</f>
        <v>23.6</v>
      </c>
      <c r="G102" s="13" t="n">
        <f aca="false">IFERROR(F102/E102,"")</f>
        <v>0.836879432624114</v>
      </c>
      <c r="H102" s="12" t="n">
        <v>17.86</v>
      </c>
      <c r="I102" s="12" t="n">
        <f aca="false">H102-D102</f>
        <v>13.26</v>
      </c>
      <c r="J102" s="13" t="n">
        <f aca="false">IFERROR(I102/H102,"")</f>
        <v>0.742441209406495</v>
      </c>
      <c r="K102" s="12" t="n">
        <v>14.24</v>
      </c>
      <c r="L102" s="12" t="n">
        <f aca="false">K102-D102</f>
        <v>9.64</v>
      </c>
      <c r="M102" s="13" t="n">
        <f aca="false">IFERROR(L102/K102,"")</f>
        <v>0.676966292134832</v>
      </c>
      <c r="N102" s="12" t="n">
        <v>11.61</v>
      </c>
      <c r="O102" s="12" t="n">
        <f aca="false">N102-D102</f>
        <v>7.01</v>
      </c>
      <c r="P102" s="13" t="n">
        <f aca="false">IFERROR(O102/N102,"")</f>
        <v>0.603789836347976</v>
      </c>
      <c r="Q102" s="12" t="n">
        <v>10.37</v>
      </c>
      <c r="R102" s="12" t="n">
        <f aca="false">Q102-D102</f>
        <v>5.77</v>
      </c>
      <c r="S102" s="13" t="n">
        <f aca="false">IFERROR(R102/Q102,"")</f>
        <v>0.556412729026037</v>
      </c>
    </row>
    <row r="103" customFormat="false" ht="15" hidden="false" customHeight="false" outlineLevel="0" collapsed="false">
      <c r="A103" s="6" t="s">
        <v>133</v>
      </c>
      <c r="B103" s="7" t="s">
        <v>23</v>
      </c>
      <c r="C103" s="6" t="s">
        <v>134</v>
      </c>
      <c r="D103" s="8" t="n">
        <v>5</v>
      </c>
      <c r="E103" s="8" t="n">
        <v>31</v>
      </c>
      <c r="F103" s="8" t="n">
        <f aca="false">E103-D103</f>
        <v>26</v>
      </c>
      <c r="G103" s="9" t="n">
        <f aca="false">IFERROR(F103/E103,"")</f>
        <v>0.838709677419355</v>
      </c>
      <c r="H103" s="8" t="n">
        <v>19.49</v>
      </c>
      <c r="I103" s="8" t="n">
        <f aca="false">H103-D103</f>
        <v>14.49</v>
      </c>
      <c r="J103" s="9" t="n">
        <f aca="false">IFERROR(I103/H103,"")</f>
        <v>0.743458183683941</v>
      </c>
      <c r="K103" s="8" t="n">
        <v>14.67</v>
      </c>
      <c r="L103" s="8" t="n">
        <f aca="false">K103-D103</f>
        <v>9.67</v>
      </c>
      <c r="M103" s="9" t="n">
        <f aca="false">IFERROR(L103/K103,"")</f>
        <v>0.659168370824813</v>
      </c>
      <c r="N103" s="8" t="n">
        <v>11.29</v>
      </c>
      <c r="O103" s="8" t="n">
        <f aca="false">N103-D103</f>
        <v>6.29</v>
      </c>
      <c r="P103" s="9" t="n">
        <f aca="false">IFERROR(O103/N103,"")</f>
        <v>0.557130203720106</v>
      </c>
      <c r="Q103" s="8" t="n">
        <v>11.06</v>
      </c>
      <c r="R103" s="8" t="n">
        <f aca="false">Q103-D103</f>
        <v>6.06</v>
      </c>
      <c r="S103" s="9" t="n">
        <f aca="false">IFERROR(R103/Q103,"")</f>
        <v>0.547920433996383</v>
      </c>
    </row>
    <row r="104" customFormat="false" ht="15" hidden="false" customHeight="false" outlineLevel="0" collapsed="false">
      <c r="A104" s="10" t="s">
        <v>133</v>
      </c>
      <c r="B104" s="11" t="s">
        <v>25</v>
      </c>
      <c r="C104" s="10" t="s">
        <v>134</v>
      </c>
      <c r="D104" s="12" t="n">
        <v>5.5</v>
      </c>
      <c r="E104" s="12" t="n">
        <v>35.7</v>
      </c>
      <c r="F104" s="12" t="n">
        <f aca="false">E104-D104</f>
        <v>30.2</v>
      </c>
      <c r="G104" s="13" t="n">
        <f aca="false">IFERROR(F104/E104,"")</f>
        <v>0.84593837535014</v>
      </c>
      <c r="H104" s="12" t="n">
        <v>22.52</v>
      </c>
      <c r="I104" s="12" t="n">
        <f aca="false">H104-D104</f>
        <v>17.02</v>
      </c>
      <c r="J104" s="13" t="n">
        <f aca="false">IFERROR(I104/H104,"")</f>
        <v>0.755772646536412</v>
      </c>
      <c r="K104" s="12" t="n">
        <v>19.97</v>
      </c>
      <c r="L104" s="12" t="n">
        <f aca="false">K104-D104</f>
        <v>14.47</v>
      </c>
      <c r="M104" s="13" t="n">
        <f aca="false">IFERROR(L104/K104,"")</f>
        <v>0.724586880320481</v>
      </c>
      <c r="N104" s="12" t="n">
        <v>13.73</v>
      </c>
      <c r="O104" s="12" t="n">
        <f aca="false">N104-D104</f>
        <v>8.23</v>
      </c>
      <c r="P104" s="13" t="n">
        <f aca="false">IFERROR(O104/N104,"")</f>
        <v>0.599417334304443</v>
      </c>
      <c r="Q104" s="12" t="n">
        <v>11.16</v>
      </c>
      <c r="R104" s="12" t="n">
        <f aca="false">Q104-D104</f>
        <v>5.66</v>
      </c>
      <c r="S104" s="13" t="n">
        <f aca="false">IFERROR(R104/Q104,"")</f>
        <v>0.507168458781362</v>
      </c>
    </row>
    <row r="105" customFormat="false" ht="15" hidden="false" customHeight="false" outlineLevel="0" collapsed="false">
      <c r="A105" s="6" t="s">
        <v>135</v>
      </c>
      <c r="B105" s="7" t="s">
        <v>27</v>
      </c>
      <c r="C105" s="6" t="s">
        <v>136</v>
      </c>
      <c r="D105" s="8" t="n">
        <v>4.97</v>
      </c>
      <c r="E105" s="8" t="n">
        <v>32.37</v>
      </c>
      <c r="F105" s="8" t="n">
        <f aca="false">E105-D105</f>
        <v>27.4</v>
      </c>
      <c r="G105" s="9" t="n">
        <f aca="false">IFERROR(F105/E105,"")</f>
        <v>0.846462774173618</v>
      </c>
      <c r="H105" s="8" t="n">
        <v>21.02</v>
      </c>
      <c r="I105" s="8" t="n">
        <f aca="false">H105-D105</f>
        <v>16.05</v>
      </c>
      <c r="J105" s="9" t="n">
        <f aca="false">IFERROR(I105/H105,"")</f>
        <v>0.763558515699334</v>
      </c>
      <c r="K105" s="8" t="n">
        <v>12.2</v>
      </c>
      <c r="L105" s="8" t="n">
        <f aca="false">K105-D105</f>
        <v>7.23</v>
      </c>
      <c r="M105" s="9" t="n">
        <f aca="false">IFERROR(L105/K105,"")</f>
        <v>0.592622950819672</v>
      </c>
      <c r="N105" s="8" t="n">
        <v>12.68</v>
      </c>
      <c r="O105" s="8" t="n">
        <f aca="false">N105-D105</f>
        <v>7.71</v>
      </c>
      <c r="P105" s="9" t="n">
        <f aca="false">IFERROR(O105/N105,"")</f>
        <v>0.608044164037855</v>
      </c>
      <c r="Q105" s="8" t="n">
        <v>12.62</v>
      </c>
      <c r="R105" s="8" t="n">
        <f aca="false">Q105-D105</f>
        <v>7.65</v>
      </c>
      <c r="S105" s="9" t="n">
        <f aca="false">IFERROR(R105/Q105,"")</f>
        <v>0.606180665610143</v>
      </c>
    </row>
    <row r="106" customFormat="false" ht="15" hidden="false" customHeight="false" outlineLevel="0" collapsed="false">
      <c r="A106" s="10" t="s">
        <v>137</v>
      </c>
      <c r="B106" s="11" t="s">
        <v>27</v>
      </c>
      <c r="C106" s="10" t="s">
        <v>138</v>
      </c>
      <c r="D106" s="12" t="n">
        <v>5.35</v>
      </c>
      <c r="E106" s="12" t="n">
        <v>36.06</v>
      </c>
      <c r="F106" s="12" t="n">
        <f aca="false">E106-D106</f>
        <v>30.71</v>
      </c>
      <c r="G106" s="13" t="n">
        <f aca="false">IFERROR(F106/E106,"")</f>
        <v>0.851636161952302</v>
      </c>
      <c r="H106" s="12" t="n">
        <v>23.3</v>
      </c>
      <c r="I106" s="12" t="n">
        <f aca="false">H106-D106</f>
        <v>17.95</v>
      </c>
      <c r="J106" s="13" t="n">
        <f aca="false">IFERROR(I106/H106,"")</f>
        <v>0.770386266094421</v>
      </c>
      <c r="K106" s="12" t="n">
        <v>14.85</v>
      </c>
      <c r="L106" s="12" t="n">
        <f aca="false">K106-D106</f>
        <v>9.5</v>
      </c>
      <c r="M106" s="13" t="n">
        <f aca="false">IFERROR(L106/K106,"")</f>
        <v>0.63973063973064</v>
      </c>
      <c r="N106" s="12" t="n">
        <v>14.43</v>
      </c>
      <c r="O106" s="12" t="n">
        <f aca="false">N106-D106</f>
        <v>9.08</v>
      </c>
      <c r="P106" s="13" t="n">
        <f aca="false">IFERROR(O106/N106,"")</f>
        <v>0.629244629244629</v>
      </c>
      <c r="Q106" s="12" t="n">
        <v>13.9</v>
      </c>
      <c r="R106" s="12" t="n">
        <f aca="false">Q106-D106</f>
        <v>8.55</v>
      </c>
      <c r="S106" s="13" t="n">
        <f aca="false">IFERROR(R106/Q106,"")</f>
        <v>0.615107913669065</v>
      </c>
    </row>
    <row r="107" customFormat="false" ht="15" hidden="false" customHeight="false" outlineLevel="0" collapsed="false">
      <c r="A107" s="6" t="s">
        <v>139</v>
      </c>
      <c r="B107" s="7" t="s">
        <v>27</v>
      </c>
      <c r="C107" s="6" t="s">
        <v>140</v>
      </c>
      <c r="D107" s="8" t="n">
        <v>4.92</v>
      </c>
      <c r="E107" s="8" t="n">
        <v>33.32</v>
      </c>
      <c r="F107" s="8" t="n">
        <f aca="false">E107-D107</f>
        <v>28.4</v>
      </c>
      <c r="G107" s="9" t="n">
        <f aca="false">IFERROR(F107/E107,"")</f>
        <v>0.85234093637455</v>
      </c>
      <c r="H107" s="8" t="n">
        <v>20.66</v>
      </c>
      <c r="I107" s="8" t="n">
        <f aca="false">H107-D107</f>
        <v>15.74</v>
      </c>
      <c r="J107" s="9" t="n">
        <f aca="false">IFERROR(I107/H107,"")</f>
        <v>0.761858664085189</v>
      </c>
      <c r="K107" s="8" t="n">
        <v>8.42</v>
      </c>
      <c r="L107" s="8" t="n">
        <f aca="false">K107-D107</f>
        <v>3.5</v>
      </c>
      <c r="M107" s="9" t="n">
        <f aca="false">IFERROR(L107/K107,"")</f>
        <v>0.415676959619953</v>
      </c>
      <c r="N107" s="8" t="n">
        <v>14.89</v>
      </c>
      <c r="O107" s="8" t="n">
        <f aca="false">N107-D107</f>
        <v>9.97</v>
      </c>
      <c r="P107" s="9" t="n">
        <f aca="false">IFERROR(O107/N107,"")</f>
        <v>0.669576897246474</v>
      </c>
      <c r="Q107" s="8" t="n">
        <v>14.11</v>
      </c>
      <c r="R107" s="8" t="n">
        <f aca="false">Q107-D107</f>
        <v>9.19</v>
      </c>
      <c r="S107" s="9" t="n">
        <f aca="false">IFERROR(R107/Q107,"")</f>
        <v>0.651311126860383</v>
      </c>
    </row>
    <row r="108" customFormat="false" ht="15" hidden="false" customHeight="false" outlineLevel="0" collapsed="false">
      <c r="A108" s="10" t="s">
        <v>141</v>
      </c>
      <c r="B108" s="11" t="s">
        <v>27</v>
      </c>
      <c r="C108" s="10" t="s">
        <v>142</v>
      </c>
      <c r="D108" s="12" t="n">
        <v>4.38</v>
      </c>
      <c r="E108" s="12" t="n">
        <v>25.47</v>
      </c>
      <c r="F108" s="12" t="n">
        <f aca="false">E108-D108</f>
        <v>21.09</v>
      </c>
      <c r="G108" s="13" t="n">
        <f aca="false">IFERROR(F108/E108,"")</f>
        <v>0.828032979976443</v>
      </c>
      <c r="H108" s="12" t="n">
        <v>14</v>
      </c>
      <c r="I108" s="12" t="n">
        <f aca="false">H108-D108</f>
        <v>9.62</v>
      </c>
      <c r="J108" s="13" t="n">
        <f aca="false">IFERROR(I108/H108,"")</f>
        <v>0.687142857142857</v>
      </c>
      <c r="K108" s="12" t="n">
        <v>6.61</v>
      </c>
      <c r="L108" s="12" t="n">
        <f aca="false">K108-D108</f>
        <v>2.23</v>
      </c>
      <c r="M108" s="13" t="n">
        <f aca="false">IFERROR(L108/K108,"")</f>
        <v>0.337367624810893</v>
      </c>
      <c r="N108" s="12" t="n">
        <v>5.99</v>
      </c>
      <c r="O108" s="12" t="n">
        <f aca="false">N108-D108</f>
        <v>1.61</v>
      </c>
      <c r="P108" s="13" t="n">
        <f aca="false">IFERROR(O108/N108,"")</f>
        <v>0.268781302170284</v>
      </c>
      <c r="Q108" s="12" t="n">
        <v>5.25</v>
      </c>
      <c r="R108" s="12" t="n">
        <f aca="false">Q108-D108</f>
        <v>0.87</v>
      </c>
      <c r="S108" s="13" t="n">
        <f aca="false">IFERROR(R108/Q108,"")</f>
        <v>0.165714285714286</v>
      </c>
    </row>
    <row r="109" customFormat="false" ht="15" hidden="false" customHeight="false" outlineLevel="0" collapsed="false">
      <c r="A109" s="6" t="s">
        <v>141</v>
      </c>
      <c r="B109" s="7" t="s">
        <v>23</v>
      </c>
      <c r="C109" s="6" t="s">
        <v>142</v>
      </c>
      <c r="D109" s="8" t="n">
        <v>4.82</v>
      </c>
      <c r="E109" s="8" t="n">
        <v>28.02</v>
      </c>
      <c r="F109" s="8" t="n">
        <f aca="false">E109-D109</f>
        <v>23.2</v>
      </c>
      <c r="G109" s="9" t="n">
        <f aca="false">IFERROR(F109/E109,"")</f>
        <v>0.827980014275518</v>
      </c>
      <c r="H109" s="8" t="n">
        <v>16.5</v>
      </c>
      <c r="I109" s="8" t="n">
        <f aca="false">H109-D109</f>
        <v>11.68</v>
      </c>
      <c r="J109" s="9" t="n">
        <f aca="false">IFERROR(I109/H109,"")</f>
        <v>0.707878787878788</v>
      </c>
      <c r="K109" s="8" t="n">
        <v>7.64</v>
      </c>
      <c r="L109" s="8" t="n">
        <f aca="false">K109-D109</f>
        <v>2.82</v>
      </c>
      <c r="M109" s="9" t="n">
        <f aca="false">IFERROR(L109/K109,"")</f>
        <v>0.369109947643979</v>
      </c>
      <c r="N109" s="8" t="n">
        <v>6.8</v>
      </c>
      <c r="O109" s="8" t="n">
        <f aca="false">N109-D109</f>
        <v>1.98</v>
      </c>
      <c r="P109" s="9" t="n">
        <f aca="false">IFERROR(O109/N109,"")</f>
        <v>0.291176470588235</v>
      </c>
      <c r="Q109" s="8" t="n">
        <v>5.95</v>
      </c>
      <c r="R109" s="8" t="n">
        <f aca="false">Q109-D109</f>
        <v>1.13</v>
      </c>
      <c r="S109" s="9" t="n">
        <f aca="false">IFERROR(R109/Q109,"")</f>
        <v>0.189915966386555</v>
      </c>
    </row>
    <row r="110" customFormat="false" ht="15" hidden="false" customHeight="false" outlineLevel="0" collapsed="false">
      <c r="A110" s="10" t="s">
        <v>141</v>
      </c>
      <c r="B110" s="11" t="s">
        <v>25</v>
      </c>
      <c r="C110" s="10" t="s">
        <v>142</v>
      </c>
      <c r="D110" s="12" t="n">
        <v>5.31</v>
      </c>
      <c r="E110" s="12" t="n">
        <v>28.58</v>
      </c>
      <c r="F110" s="12" t="n">
        <f aca="false">E110-D110</f>
        <v>23.27</v>
      </c>
      <c r="G110" s="13" t="n">
        <f aca="false">IFERROR(F110/E110,"")</f>
        <v>0.814205738278517</v>
      </c>
      <c r="H110" s="12" t="n">
        <v>17</v>
      </c>
      <c r="I110" s="12" t="n">
        <f aca="false">H110-D110</f>
        <v>11.69</v>
      </c>
      <c r="J110" s="13" t="n">
        <f aca="false">IFERROR(I110/H110,"")</f>
        <v>0.68764705882353</v>
      </c>
      <c r="K110" s="12" t="n">
        <v>8.6</v>
      </c>
      <c r="L110" s="12" t="n">
        <f aca="false">K110-D110</f>
        <v>3.29</v>
      </c>
      <c r="M110" s="13" t="n">
        <f aca="false">IFERROR(L110/K110,"")</f>
        <v>0.382558139534884</v>
      </c>
      <c r="N110" s="12" t="n">
        <v>7.01</v>
      </c>
      <c r="O110" s="12" t="n">
        <f aca="false">N110-D110</f>
        <v>1.7</v>
      </c>
      <c r="P110" s="13" t="n">
        <f aca="false">IFERROR(O110/N110,"")</f>
        <v>0.242510699001427</v>
      </c>
      <c r="Q110" s="12" t="n">
        <v>6.5</v>
      </c>
      <c r="R110" s="12" t="n">
        <f aca="false">Q110-D110</f>
        <v>1.19</v>
      </c>
      <c r="S110" s="13" t="n">
        <f aca="false">IFERROR(R110/Q110,"")</f>
        <v>0.183076923076923</v>
      </c>
    </row>
    <row r="111" customFormat="false" ht="15" hidden="false" customHeight="false" outlineLevel="0" collapsed="false">
      <c r="A111" s="6" t="s">
        <v>143</v>
      </c>
      <c r="B111" s="7" t="s">
        <v>27</v>
      </c>
      <c r="C111" s="6" t="s">
        <v>144</v>
      </c>
      <c r="D111" s="8" t="n">
        <v>4.82</v>
      </c>
      <c r="E111" s="8" t="n">
        <v>28.88</v>
      </c>
      <c r="F111" s="8" t="n">
        <f aca="false">E111-D111</f>
        <v>24.06</v>
      </c>
      <c r="G111" s="9" t="n">
        <f aca="false">IFERROR(F111/E111,"")</f>
        <v>0.833102493074792</v>
      </c>
      <c r="H111" s="8" t="n">
        <v>14.96</v>
      </c>
      <c r="I111" s="8" t="n">
        <f aca="false">H111-D111</f>
        <v>10.14</v>
      </c>
      <c r="J111" s="9" t="n">
        <f aca="false">IFERROR(I111/H111,"")</f>
        <v>0.677807486631016</v>
      </c>
      <c r="K111" s="8" t="n">
        <v>10.09</v>
      </c>
      <c r="L111" s="8" t="n">
        <f aca="false">K111-D111</f>
        <v>5.27</v>
      </c>
      <c r="M111" s="9" t="n">
        <f aca="false">IFERROR(L111/K111,"")</f>
        <v>0.522299306243806</v>
      </c>
      <c r="N111" s="8" t="n">
        <v>8.78</v>
      </c>
      <c r="O111" s="8" t="n">
        <f aca="false">N111-D111</f>
        <v>3.96</v>
      </c>
      <c r="P111" s="9" t="n">
        <f aca="false">IFERROR(O111/N111,"")</f>
        <v>0.451025056947608</v>
      </c>
      <c r="Q111" s="8" t="n">
        <v>8.75</v>
      </c>
      <c r="R111" s="8" t="n">
        <f aca="false">Q111-D111</f>
        <v>3.93</v>
      </c>
      <c r="S111" s="9" t="n">
        <f aca="false">IFERROR(R111/Q111,"")</f>
        <v>0.449142857142857</v>
      </c>
    </row>
    <row r="112" customFormat="false" ht="15" hidden="false" customHeight="false" outlineLevel="0" collapsed="false">
      <c r="A112" s="10" t="s">
        <v>143</v>
      </c>
      <c r="B112" s="11" t="s">
        <v>23</v>
      </c>
      <c r="C112" s="10" t="s">
        <v>144</v>
      </c>
      <c r="D112" s="12" t="n">
        <v>5.2</v>
      </c>
      <c r="E112" s="12" t="n">
        <v>41.8</v>
      </c>
      <c r="F112" s="12" t="n">
        <f aca="false">E112-D112</f>
        <v>36.6</v>
      </c>
      <c r="G112" s="13" t="n">
        <f aca="false">IFERROR(F112/E112,"")</f>
        <v>0.875598086124402</v>
      </c>
      <c r="H112" s="12" t="n">
        <v>27.21</v>
      </c>
      <c r="I112" s="12" t="n">
        <f aca="false">H112-D112</f>
        <v>22.01</v>
      </c>
      <c r="J112" s="13" t="n">
        <f aca="false">IFERROR(I112/H112,"")</f>
        <v>0.808893789048144</v>
      </c>
      <c r="K112" s="12" t="n">
        <v>16.53</v>
      </c>
      <c r="L112" s="12" t="n">
        <f aca="false">K112-D112</f>
        <v>11.33</v>
      </c>
      <c r="M112" s="13" t="n">
        <f aca="false">IFERROR(L112/K112,"")</f>
        <v>0.685420447670902</v>
      </c>
      <c r="N112" s="12" t="n">
        <v>14.32</v>
      </c>
      <c r="O112" s="12" t="n">
        <f aca="false">N112-D112</f>
        <v>9.12</v>
      </c>
      <c r="P112" s="13" t="n">
        <f aca="false">IFERROR(O112/N112,"")</f>
        <v>0.636871508379888</v>
      </c>
      <c r="Q112" s="12" t="n">
        <v>12.97</v>
      </c>
      <c r="R112" s="12" t="n">
        <f aca="false">Q112-D112</f>
        <v>7.77</v>
      </c>
      <c r="S112" s="13" t="n">
        <f aca="false">IFERROR(R112/Q112,"")</f>
        <v>0.599074787972244</v>
      </c>
    </row>
    <row r="113" customFormat="false" ht="15" hidden="false" customHeight="false" outlineLevel="0" collapsed="false">
      <c r="A113" s="6" t="s">
        <v>143</v>
      </c>
      <c r="B113" s="7" t="s">
        <v>25</v>
      </c>
      <c r="C113" s="6" t="s">
        <v>144</v>
      </c>
      <c r="D113" s="8" t="n">
        <v>5.72</v>
      </c>
      <c r="E113" s="8" t="n">
        <v>37.37</v>
      </c>
      <c r="F113" s="8" t="n">
        <f aca="false">E113-D113</f>
        <v>31.65</v>
      </c>
      <c r="G113" s="9" t="n">
        <f aca="false">IFERROR(F113/E113,"")</f>
        <v>0.846936044955847</v>
      </c>
      <c r="H113" s="8" t="n">
        <v>24.51</v>
      </c>
      <c r="I113" s="8" t="n">
        <f aca="false">H113-D113</f>
        <v>18.79</v>
      </c>
      <c r="J113" s="9" t="n">
        <f aca="false">IFERROR(I113/H113,"")</f>
        <v>0.766625866993064</v>
      </c>
      <c r="K113" s="8" t="n">
        <v>18.79</v>
      </c>
      <c r="L113" s="8" t="n">
        <f aca="false">K113-D113</f>
        <v>13.07</v>
      </c>
      <c r="M113" s="9" t="n">
        <f aca="false">IFERROR(L113/K113,"")</f>
        <v>0.695582756785524</v>
      </c>
      <c r="N113" s="8" t="n">
        <v>15.89</v>
      </c>
      <c r="O113" s="8" t="n">
        <f aca="false">N113-D113</f>
        <v>10.17</v>
      </c>
      <c r="P113" s="9" t="n">
        <f aca="false">IFERROR(O113/N113,"")</f>
        <v>0.640025173064821</v>
      </c>
      <c r="Q113" s="8" t="n">
        <v>15.07</v>
      </c>
      <c r="R113" s="8" t="n">
        <f aca="false">Q113-D113</f>
        <v>9.35</v>
      </c>
      <c r="S113" s="9" t="n">
        <f aca="false">IFERROR(R113/Q113,"")</f>
        <v>0.62043795620438</v>
      </c>
    </row>
    <row r="114" customFormat="false" ht="15" hidden="false" customHeight="false" outlineLevel="0" collapsed="false">
      <c r="A114" s="10" t="s">
        <v>145</v>
      </c>
      <c r="B114" s="11" t="s">
        <v>27</v>
      </c>
      <c r="C114" s="10" t="s">
        <v>146</v>
      </c>
      <c r="D114" s="12" t="n">
        <v>4.52</v>
      </c>
      <c r="E114" s="12" t="n">
        <v>26.99</v>
      </c>
      <c r="F114" s="12" t="n">
        <f aca="false">E114-D114</f>
        <v>22.47</v>
      </c>
      <c r="G114" s="13" t="n">
        <f aca="false">IFERROR(F114/E114,"")</f>
        <v>0.832530566876621</v>
      </c>
      <c r="H114" s="12" t="n">
        <v>14.99</v>
      </c>
      <c r="I114" s="12" t="n">
        <f aca="false">H114-D114</f>
        <v>10.47</v>
      </c>
      <c r="J114" s="13" t="n">
        <f aca="false">IFERROR(I114/H114,"")</f>
        <v>0.698465643762508</v>
      </c>
      <c r="K114" s="12" t="n">
        <v>10.13</v>
      </c>
      <c r="L114" s="12" t="n">
        <f aca="false">K114-D114</f>
        <v>5.61</v>
      </c>
      <c r="M114" s="13" t="n">
        <f aca="false">IFERROR(L114/K114,"")</f>
        <v>0.553800592300099</v>
      </c>
      <c r="N114" s="12" t="n">
        <v>6.74</v>
      </c>
      <c r="O114" s="12" t="n">
        <f aca="false">N114-D114</f>
        <v>2.22</v>
      </c>
      <c r="P114" s="13" t="n">
        <f aca="false">IFERROR(O114/N114,"")</f>
        <v>0.329376854599407</v>
      </c>
      <c r="Q114" s="12" t="n">
        <v>6.89</v>
      </c>
      <c r="R114" s="12" t="n">
        <f aca="false">Q114-D114</f>
        <v>2.37</v>
      </c>
      <c r="S114" s="13" t="n">
        <f aca="false">IFERROR(R114/Q114,"")</f>
        <v>0.343976777939042</v>
      </c>
    </row>
    <row r="115" customFormat="false" ht="15" hidden="false" customHeight="false" outlineLevel="0" collapsed="false">
      <c r="A115" s="6" t="s">
        <v>147</v>
      </c>
      <c r="B115" s="7" t="s">
        <v>27</v>
      </c>
      <c r="C115" s="6" t="s">
        <v>148</v>
      </c>
      <c r="D115" s="8" t="n">
        <v>4.76</v>
      </c>
      <c r="E115" s="8" t="n">
        <v>35.7</v>
      </c>
      <c r="F115" s="8" t="n">
        <f aca="false">E115-D115</f>
        <v>30.94</v>
      </c>
      <c r="G115" s="9" t="n">
        <f aca="false">IFERROR(F115/E115,"")</f>
        <v>0.866666666666667</v>
      </c>
      <c r="H115" s="8" t="n">
        <v>18.71</v>
      </c>
      <c r="I115" s="8" t="n">
        <f aca="false">H115-D115</f>
        <v>13.95</v>
      </c>
      <c r="J115" s="9" t="n">
        <f aca="false">IFERROR(I115/H115,"")</f>
        <v>0.745590593265633</v>
      </c>
      <c r="K115" s="8" t="n">
        <v>6.48</v>
      </c>
      <c r="L115" s="8" t="n">
        <f aca="false">K115-D115</f>
        <v>1.72</v>
      </c>
      <c r="M115" s="9" t="n">
        <f aca="false">IFERROR(L115/K115,"")</f>
        <v>0.265432098765432</v>
      </c>
      <c r="N115" s="8" t="n">
        <v>7.89</v>
      </c>
      <c r="O115" s="8" t="n">
        <f aca="false">N115-D115</f>
        <v>3.13</v>
      </c>
      <c r="P115" s="9" t="n">
        <f aca="false">IFERROR(O115/N115,"")</f>
        <v>0.396704689480355</v>
      </c>
      <c r="Q115" s="8" t="n">
        <v>7.62</v>
      </c>
      <c r="R115" s="8" t="n">
        <f aca="false">Q115-D115</f>
        <v>2.86</v>
      </c>
      <c r="S115" s="9" t="n">
        <f aca="false">IFERROR(R115/Q115,"")</f>
        <v>0.375328083989501</v>
      </c>
    </row>
    <row r="116" customFormat="false" ht="15" hidden="false" customHeight="false" outlineLevel="0" collapsed="false">
      <c r="A116" s="10" t="s">
        <v>147</v>
      </c>
      <c r="B116" s="11" t="s">
        <v>23</v>
      </c>
      <c r="C116" s="10" t="s">
        <v>149</v>
      </c>
      <c r="D116" s="12" t="n">
        <v>4.73</v>
      </c>
      <c r="E116" s="12" t="n">
        <v>36.99</v>
      </c>
      <c r="F116" s="12" t="n">
        <f aca="false">E116-D116</f>
        <v>32.26</v>
      </c>
      <c r="G116" s="13" t="n">
        <f aca="false">IFERROR(F116/E116,"")</f>
        <v>0.87212760205461</v>
      </c>
      <c r="H116" s="12" t="n">
        <v>19.49</v>
      </c>
      <c r="I116" s="12" t="n">
        <f aca="false">H116-D116</f>
        <v>14.76</v>
      </c>
      <c r="J116" s="13" t="n">
        <f aca="false">IFERROR(I116/H116,"")</f>
        <v>0.757311441765008</v>
      </c>
      <c r="K116" s="12" t="n">
        <v>11.04</v>
      </c>
      <c r="L116" s="12" t="n">
        <f aca="false">K116-D116</f>
        <v>6.31</v>
      </c>
      <c r="M116" s="13" t="n">
        <f aca="false">IFERROR(L116/K116,"")</f>
        <v>0.571557971014493</v>
      </c>
      <c r="N116" s="12" t="n">
        <v>8.87</v>
      </c>
      <c r="O116" s="12" t="n">
        <f aca="false">N116-D116</f>
        <v>4.14</v>
      </c>
      <c r="P116" s="13" t="n">
        <f aca="false">IFERROR(O116/N116,"")</f>
        <v>0.46674182638106</v>
      </c>
      <c r="Q116" s="12" t="n">
        <v>8.74</v>
      </c>
      <c r="R116" s="12" t="n">
        <f aca="false">Q116-D116</f>
        <v>4.01</v>
      </c>
      <c r="S116" s="13" t="n">
        <f aca="false">IFERROR(R116/Q116,"")</f>
        <v>0.458810068649886</v>
      </c>
    </row>
    <row r="117" customFormat="false" ht="15" hidden="false" customHeight="false" outlineLevel="0" collapsed="false">
      <c r="A117" s="6" t="s">
        <v>147</v>
      </c>
      <c r="B117" s="7" t="s">
        <v>25</v>
      </c>
      <c r="C117" s="6" t="s">
        <v>149</v>
      </c>
      <c r="D117" s="8" t="n">
        <v>5.21</v>
      </c>
      <c r="E117" s="8" t="n">
        <v>37.38</v>
      </c>
      <c r="F117" s="8" t="n">
        <f aca="false">E117-D117</f>
        <v>32.17</v>
      </c>
      <c r="G117" s="9" t="n">
        <f aca="false">IFERROR(F117/E117,"")</f>
        <v>0.860620652755484</v>
      </c>
      <c r="H117" s="8" t="n">
        <v>19.91</v>
      </c>
      <c r="I117" s="8" t="n">
        <f aca="false">H117-D117</f>
        <v>14.7</v>
      </c>
      <c r="J117" s="9" t="n">
        <f aca="false">IFERROR(I117/H117,"")</f>
        <v>0.738322451029633</v>
      </c>
      <c r="K117" s="8" t="n">
        <v>8.32</v>
      </c>
      <c r="L117" s="8" t="n">
        <f aca="false">K117-D117</f>
        <v>3.11</v>
      </c>
      <c r="M117" s="9" t="n">
        <f aca="false">IFERROR(L117/K117,"")</f>
        <v>0.373798076923077</v>
      </c>
      <c r="N117" s="8" t="n">
        <v>9.39</v>
      </c>
      <c r="O117" s="8" t="n">
        <f aca="false">N117-D117</f>
        <v>4.18</v>
      </c>
      <c r="P117" s="9" t="n">
        <f aca="false">IFERROR(O117/N117,"")</f>
        <v>0.445154419595314</v>
      </c>
      <c r="Q117" s="8" t="n">
        <v>9.06</v>
      </c>
      <c r="R117" s="8" t="n">
        <f aca="false">Q117-D117</f>
        <v>3.85</v>
      </c>
      <c r="S117" s="9" t="n">
        <f aca="false">IFERROR(R117/Q117,"")</f>
        <v>0.424944812362031</v>
      </c>
    </row>
    <row r="118" customFormat="false" ht="15" hidden="false" customHeight="false" outlineLevel="0" collapsed="false">
      <c r="A118" s="10" t="s">
        <v>150</v>
      </c>
      <c r="B118" s="11" t="s">
        <v>27</v>
      </c>
      <c r="C118" s="10" t="s">
        <v>151</v>
      </c>
      <c r="D118" s="12" t="n">
        <v>4.7</v>
      </c>
      <c r="E118" s="12" t="n">
        <v>27.25</v>
      </c>
      <c r="F118" s="12" t="n">
        <f aca="false">E118-D118</f>
        <v>22.55</v>
      </c>
      <c r="G118" s="13" t="n">
        <f aca="false">IFERROR(F118/E118,"")</f>
        <v>0.827522935779817</v>
      </c>
      <c r="H118" s="12" t="n">
        <v>15.51</v>
      </c>
      <c r="I118" s="12" t="n">
        <f aca="false">H118-D118</f>
        <v>10.81</v>
      </c>
      <c r="J118" s="13" t="n">
        <f aca="false">IFERROR(I118/H118,"")</f>
        <v>0.696969696969697</v>
      </c>
      <c r="K118" s="12" t="n">
        <v>8.81</v>
      </c>
      <c r="L118" s="12" t="n">
        <f aca="false">K118-D118</f>
        <v>4.11</v>
      </c>
      <c r="M118" s="13" t="n">
        <f aca="false">IFERROR(L118/K118,"")</f>
        <v>0.466515323496027</v>
      </c>
      <c r="N118" s="12" t="n">
        <v>6.74</v>
      </c>
      <c r="O118" s="12" t="n">
        <f aca="false">N118-D118</f>
        <v>2.04</v>
      </c>
      <c r="P118" s="13" t="n">
        <f aca="false">IFERROR(O118/N118,"")</f>
        <v>0.302670623145401</v>
      </c>
      <c r="Q118" s="12" t="n">
        <v>6.07</v>
      </c>
      <c r="R118" s="12" t="n">
        <f aca="false">Q118-D118</f>
        <v>1.37</v>
      </c>
      <c r="S118" s="13" t="n">
        <f aca="false">IFERROR(R118/Q118,"")</f>
        <v>0.225700164744646</v>
      </c>
    </row>
    <row r="119" customFormat="false" ht="15" hidden="false" customHeight="false" outlineLevel="0" collapsed="false">
      <c r="A119" s="6" t="s">
        <v>150</v>
      </c>
      <c r="B119" s="7" t="s">
        <v>23</v>
      </c>
      <c r="C119" s="6" t="s">
        <v>151</v>
      </c>
      <c r="D119" s="8" t="n">
        <v>5.35</v>
      </c>
      <c r="E119" s="8" t="n">
        <v>32</v>
      </c>
      <c r="F119" s="8" t="n">
        <f aca="false">E119-D119</f>
        <v>26.65</v>
      </c>
      <c r="G119" s="9" t="n">
        <f aca="false">IFERROR(F119/E119,"")</f>
        <v>0.8328125</v>
      </c>
      <c r="H119" s="8" t="n">
        <v>17.5</v>
      </c>
      <c r="I119" s="8" t="n">
        <f aca="false">H119-D119</f>
        <v>12.15</v>
      </c>
      <c r="J119" s="9" t="n">
        <f aca="false">IFERROR(I119/H119,"")</f>
        <v>0.694285714285714</v>
      </c>
      <c r="K119" s="8" t="n">
        <v>10.51</v>
      </c>
      <c r="L119" s="8" t="n">
        <f aca="false">K119-D119</f>
        <v>5.16</v>
      </c>
      <c r="M119" s="9" t="n">
        <f aca="false">IFERROR(L119/K119,"")</f>
        <v>0.490960989533777</v>
      </c>
      <c r="N119" s="8" t="n">
        <v>8.96</v>
      </c>
      <c r="O119" s="8" t="n">
        <f aca="false">N119-D119</f>
        <v>3.61</v>
      </c>
      <c r="P119" s="9" t="n">
        <f aca="false">IFERROR(O119/N119,"")</f>
        <v>0.402901785714286</v>
      </c>
      <c r="Q119" s="8" t="n">
        <v>8.36</v>
      </c>
      <c r="R119" s="8" t="n">
        <f aca="false">Q119-D119</f>
        <v>3.01</v>
      </c>
      <c r="S119" s="9" t="n">
        <f aca="false">IFERROR(R119/Q119,"")</f>
        <v>0.360047846889952</v>
      </c>
    </row>
    <row r="120" customFormat="false" ht="15" hidden="false" customHeight="false" outlineLevel="0" collapsed="false">
      <c r="A120" s="10" t="s">
        <v>150</v>
      </c>
      <c r="B120" s="11" t="s">
        <v>25</v>
      </c>
      <c r="C120" s="10" t="s">
        <v>151</v>
      </c>
      <c r="D120" s="12" t="n">
        <v>5.88</v>
      </c>
      <c r="E120" s="12" t="n">
        <v>33.89</v>
      </c>
      <c r="F120" s="12" t="n">
        <f aca="false">E120-D120</f>
        <v>28.01</v>
      </c>
      <c r="G120" s="13" t="n">
        <f aca="false">IFERROR(F120/E120,"")</f>
        <v>0.826497491885512</v>
      </c>
      <c r="H120" s="12" t="n">
        <v>18.74</v>
      </c>
      <c r="I120" s="12" t="n">
        <f aca="false">H120-D120</f>
        <v>12.86</v>
      </c>
      <c r="J120" s="13" t="n">
        <f aca="false">IFERROR(I120/H120,"")</f>
        <v>0.686232657417289</v>
      </c>
      <c r="K120" s="12" t="n">
        <v>12.65</v>
      </c>
      <c r="L120" s="12" t="n">
        <f aca="false">K120-D120</f>
        <v>6.77</v>
      </c>
      <c r="M120" s="13" t="n">
        <f aca="false">IFERROR(L120/K120,"")</f>
        <v>0.535177865612648</v>
      </c>
      <c r="N120" s="12" t="n">
        <v>10.16</v>
      </c>
      <c r="O120" s="12" t="n">
        <f aca="false">N120-D120</f>
        <v>4.28</v>
      </c>
      <c r="P120" s="13" t="n">
        <f aca="false">IFERROR(O120/N120,"")</f>
        <v>0.421259842519685</v>
      </c>
      <c r="Q120" s="12" t="n">
        <v>9.24</v>
      </c>
      <c r="R120" s="12" t="n">
        <f aca="false">Q120-D120</f>
        <v>3.36</v>
      </c>
      <c r="S120" s="13" t="n">
        <f aca="false">IFERROR(R120/Q120,"")</f>
        <v>0.363636363636364</v>
      </c>
    </row>
    <row r="121" customFormat="false" ht="15" hidden="false" customHeight="false" outlineLevel="0" collapsed="false">
      <c r="A121" s="6" t="s">
        <v>152</v>
      </c>
      <c r="B121" s="7" t="s">
        <v>27</v>
      </c>
      <c r="C121" s="6" t="s">
        <v>153</v>
      </c>
      <c r="D121" s="8" t="n">
        <v>4.76</v>
      </c>
      <c r="E121" s="8" t="n">
        <v>27.99</v>
      </c>
      <c r="F121" s="8" t="n">
        <f aca="false">E121-D121</f>
        <v>23.23</v>
      </c>
      <c r="G121" s="9" t="n">
        <f aca="false">IFERROR(F121/E121,"")</f>
        <v>0.829939264022865</v>
      </c>
      <c r="H121" s="8" t="n">
        <v>13.22</v>
      </c>
      <c r="I121" s="8" t="n">
        <f aca="false">H121-D121</f>
        <v>8.46</v>
      </c>
      <c r="J121" s="9" t="n">
        <f aca="false">IFERROR(I121/H121,"")</f>
        <v>0.639939485627837</v>
      </c>
      <c r="K121" s="8" t="n">
        <v>8.37</v>
      </c>
      <c r="L121" s="8" t="n">
        <f aca="false">K121-D121</f>
        <v>3.61</v>
      </c>
      <c r="M121" s="9" t="n">
        <f aca="false">IFERROR(L121/K121,"")</f>
        <v>0.431302270011947</v>
      </c>
      <c r="N121" s="8" t="n">
        <v>6.74</v>
      </c>
      <c r="O121" s="8" t="n">
        <f aca="false">N121-D121</f>
        <v>1.98</v>
      </c>
      <c r="P121" s="9" t="n">
        <f aca="false">IFERROR(O121/N121,"")</f>
        <v>0.293768545994065</v>
      </c>
      <c r="Q121" s="8" t="n">
        <v>5.88</v>
      </c>
      <c r="R121" s="8" t="n">
        <f aca="false">Q121-D121</f>
        <v>1.12</v>
      </c>
      <c r="S121" s="9" t="n">
        <f aca="false">IFERROR(R121/Q121,"")</f>
        <v>0.190476190476191</v>
      </c>
    </row>
    <row r="122" customFormat="false" ht="15" hidden="false" customHeight="false" outlineLevel="0" collapsed="false">
      <c r="A122" s="10" t="s">
        <v>152</v>
      </c>
      <c r="B122" s="11" t="s">
        <v>23</v>
      </c>
      <c r="C122" s="10" t="s">
        <v>153</v>
      </c>
      <c r="D122" s="12" t="n">
        <v>5.42</v>
      </c>
      <c r="E122" s="12" t="n">
        <v>30</v>
      </c>
      <c r="F122" s="12" t="n">
        <f aca="false">E122-D122</f>
        <v>24.58</v>
      </c>
      <c r="G122" s="13" t="n">
        <f aca="false">IFERROR(F122/E122,"")</f>
        <v>0.819333333333333</v>
      </c>
      <c r="H122" s="12" t="n">
        <v>15.5</v>
      </c>
      <c r="I122" s="12" t="n">
        <f aca="false">H122-D122</f>
        <v>10.08</v>
      </c>
      <c r="J122" s="13" t="n">
        <f aca="false">IFERROR(I122/H122,"")</f>
        <v>0.650322580645161</v>
      </c>
      <c r="K122" s="12" t="n">
        <v>8.61</v>
      </c>
      <c r="L122" s="12" t="n">
        <f aca="false">K122-D122</f>
        <v>3.19</v>
      </c>
      <c r="M122" s="13" t="n">
        <f aca="false">IFERROR(L122/K122,"")</f>
        <v>0.370499419279907</v>
      </c>
      <c r="N122" s="12" t="n">
        <v>8.52</v>
      </c>
      <c r="O122" s="12" t="n">
        <f aca="false">N122-D122</f>
        <v>3.1</v>
      </c>
      <c r="P122" s="13" t="n">
        <f aca="false">IFERROR(O122/N122,"")</f>
        <v>0.363849765258216</v>
      </c>
      <c r="Q122" s="12" t="n">
        <v>8.29</v>
      </c>
      <c r="R122" s="12" t="n">
        <f aca="false">Q122-D122</f>
        <v>2.87</v>
      </c>
      <c r="S122" s="13" t="n">
        <f aca="false">IFERROR(R122/Q122,"")</f>
        <v>0.346200241254524</v>
      </c>
    </row>
    <row r="123" customFormat="false" ht="15" hidden="false" customHeight="false" outlineLevel="0" collapsed="false">
      <c r="A123" s="6" t="s">
        <v>152</v>
      </c>
      <c r="B123" s="7" t="s">
        <v>25</v>
      </c>
      <c r="C123" s="6" t="s">
        <v>153</v>
      </c>
      <c r="D123" s="8" t="n">
        <v>5.96</v>
      </c>
      <c r="E123" s="8" t="n">
        <v>27.16</v>
      </c>
      <c r="F123" s="8" t="n">
        <f aca="false">E123-D123</f>
        <v>21.2</v>
      </c>
      <c r="G123" s="9" t="n">
        <f aca="false">IFERROR(F123/E123,"")</f>
        <v>0.780559646539028</v>
      </c>
      <c r="H123" s="8" t="n">
        <v>15.98</v>
      </c>
      <c r="I123" s="8" t="n">
        <f aca="false">H123-D123</f>
        <v>10.02</v>
      </c>
      <c r="J123" s="9" t="n">
        <f aca="false">IFERROR(I123/H123,"")</f>
        <v>0.6270337922403</v>
      </c>
      <c r="K123" s="8" t="n">
        <v>10.84</v>
      </c>
      <c r="L123" s="8" t="n">
        <f aca="false">K123-D123</f>
        <v>4.88</v>
      </c>
      <c r="M123" s="9" t="n">
        <f aca="false">IFERROR(L123/K123,"")</f>
        <v>0.450184501845018</v>
      </c>
      <c r="N123" s="8" t="n">
        <v>8.42</v>
      </c>
      <c r="O123" s="8" t="n">
        <f aca="false">N123-D123</f>
        <v>2.46</v>
      </c>
      <c r="P123" s="9" t="n">
        <f aca="false">IFERROR(O123/N123,"")</f>
        <v>0.292161520190024</v>
      </c>
      <c r="Q123" s="8" t="n">
        <v>7.39</v>
      </c>
      <c r="R123" s="8" t="n">
        <f aca="false">Q123-D123</f>
        <v>1.43</v>
      </c>
      <c r="S123" s="9" t="n">
        <f aca="false">IFERROR(R123/Q123,"")</f>
        <v>0.193504736129905</v>
      </c>
    </row>
    <row r="124" customFormat="false" ht="15" hidden="false" customHeight="false" outlineLevel="0" collapsed="false">
      <c r="A124" s="10" t="s">
        <v>154</v>
      </c>
      <c r="B124" s="11" t="s">
        <v>27</v>
      </c>
      <c r="C124" s="10" t="s">
        <v>155</v>
      </c>
      <c r="D124" s="12" t="n">
        <v>4.95</v>
      </c>
      <c r="E124" s="12" t="n">
        <v>36.45</v>
      </c>
      <c r="F124" s="12" t="n">
        <f aca="false">E124-D124</f>
        <v>31.5</v>
      </c>
      <c r="G124" s="13" t="n">
        <f aca="false">IFERROR(F124/E124,"")</f>
        <v>0.864197530864198</v>
      </c>
      <c r="H124" s="12" t="n">
        <v>23.47</v>
      </c>
      <c r="I124" s="12" t="n">
        <f aca="false">H124-D124</f>
        <v>18.52</v>
      </c>
      <c r="J124" s="13" t="n">
        <f aca="false">IFERROR(I124/H124,"")</f>
        <v>0.789092458457606</v>
      </c>
      <c r="K124" s="12" t="n">
        <v>15.59</v>
      </c>
      <c r="L124" s="12" t="n">
        <f aca="false">K124-D124</f>
        <v>10.64</v>
      </c>
      <c r="M124" s="13" t="n">
        <f aca="false">IFERROR(L124/K124,"")</f>
        <v>0.682488774855677</v>
      </c>
      <c r="N124" s="12" t="n">
        <v>14.17</v>
      </c>
      <c r="O124" s="12" t="n">
        <f aca="false">N124-D124</f>
        <v>9.22</v>
      </c>
      <c r="P124" s="13" t="n">
        <f aca="false">IFERROR(O124/N124,"")</f>
        <v>0.650670430486944</v>
      </c>
      <c r="Q124" s="12" t="n">
        <v>13.64</v>
      </c>
      <c r="R124" s="12" t="n">
        <f aca="false">Q124-D124</f>
        <v>8.69</v>
      </c>
      <c r="S124" s="13" t="n">
        <f aca="false">IFERROR(R124/Q124,"")</f>
        <v>0.637096774193549</v>
      </c>
    </row>
    <row r="125" customFormat="false" ht="15" hidden="false" customHeight="false" outlineLevel="0" collapsed="false">
      <c r="A125" s="6" t="s">
        <v>156</v>
      </c>
      <c r="B125" s="7" t="s">
        <v>27</v>
      </c>
      <c r="C125" s="6" t="s">
        <v>157</v>
      </c>
      <c r="D125" s="8" t="n">
        <v>5.07</v>
      </c>
      <c r="E125" s="8" t="n">
        <v>34</v>
      </c>
      <c r="F125" s="8" t="n">
        <f aca="false">E125-D125</f>
        <v>28.93</v>
      </c>
      <c r="G125" s="9" t="n">
        <f aca="false">IFERROR(F125/E125,"")</f>
        <v>0.850882352941176</v>
      </c>
      <c r="H125" s="8" t="n">
        <v>15.87</v>
      </c>
      <c r="I125" s="8" t="n">
        <f aca="false">H125-D125</f>
        <v>10.8</v>
      </c>
      <c r="J125" s="9" t="n">
        <f aca="false">IFERROR(I125/H125,"")</f>
        <v>0.680529300567108</v>
      </c>
      <c r="K125" s="8" t="n">
        <v>9.92</v>
      </c>
      <c r="L125" s="8" t="n">
        <f aca="false">K125-D125</f>
        <v>4.85</v>
      </c>
      <c r="M125" s="9" t="n">
        <f aca="false">IFERROR(L125/K125,"")</f>
        <v>0.488911290322581</v>
      </c>
      <c r="N125" s="8" t="n">
        <v>7.28</v>
      </c>
      <c r="O125" s="8" t="n">
        <f aca="false">N125-D125</f>
        <v>2.21</v>
      </c>
      <c r="P125" s="9" t="n">
        <f aca="false">IFERROR(O125/N125,"")</f>
        <v>0.303571428571429</v>
      </c>
      <c r="Q125" s="8" t="n">
        <v>6.48</v>
      </c>
      <c r="R125" s="8" t="n">
        <f aca="false">Q125-D125</f>
        <v>1.41</v>
      </c>
      <c r="S125" s="9" t="n">
        <f aca="false">IFERROR(R125/Q125,"")</f>
        <v>0.217592592592593</v>
      </c>
    </row>
    <row r="126" customFormat="false" ht="15" hidden="false" customHeight="false" outlineLevel="0" collapsed="false">
      <c r="A126" s="10" t="s">
        <v>156</v>
      </c>
      <c r="B126" s="11" t="s">
        <v>23</v>
      </c>
      <c r="C126" s="10" t="s">
        <v>157</v>
      </c>
      <c r="D126" s="12" t="n">
        <v>5.9</v>
      </c>
      <c r="E126" s="12" t="n">
        <v>35.99</v>
      </c>
      <c r="F126" s="12" t="n">
        <f aca="false">E126-D126</f>
        <v>30.09</v>
      </c>
      <c r="G126" s="13" t="n">
        <f aca="false">IFERROR(F126/E126,"")</f>
        <v>0.836065573770492</v>
      </c>
      <c r="H126" s="12" t="n">
        <v>18.5</v>
      </c>
      <c r="I126" s="12" t="n">
        <f aca="false">H126-D126</f>
        <v>12.6</v>
      </c>
      <c r="J126" s="13" t="n">
        <f aca="false">IFERROR(I126/H126,"")</f>
        <v>0.681081081081081</v>
      </c>
      <c r="K126" s="12" t="n">
        <v>9.57</v>
      </c>
      <c r="L126" s="12" t="n">
        <f aca="false">K126-D126</f>
        <v>3.67</v>
      </c>
      <c r="M126" s="13" t="n">
        <f aca="false">IFERROR(L126/K126,"")</f>
        <v>0.383490073145246</v>
      </c>
      <c r="N126" s="12" t="n">
        <v>8.96</v>
      </c>
      <c r="O126" s="12" t="n">
        <f aca="false">N126-D126</f>
        <v>3.06</v>
      </c>
      <c r="P126" s="13" t="n">
        <f aca="false">IFERROR(O126/N126,"")</f>
        <v>0.341517857142857</v>
      </c>
      <c r="Q126" s="12" t="n">
        <v>8.49</v>
      </c>
      <c r="R126" s="12" t="n">
        <f aca="false">Q126-D126</f>
        <v>2.59</v>
      </c>
      <c r="S126" s="13" t="n">
        <f aca="false">IFERROR(R126/Q126,"")</f>
        <v>0.305064782096584</v>
      </c>
    </row>
    <row r="127" customFormat="false" ht="15" hidden="false" customHeight="false" outlineLevel="0" collapsed="false">
      <c r="A127" s="6" t="s">
        <v>156</v>
      </c>
      <c r="B127" s="7" t="s">
        <v>25</v>
      </c>
      <c r="C127" s="6" t="s">
        <v>157</v>
      </c>
      <c r="D127" s="8" t="n">
        <v>6.49</v>
      </c>
      <c r="E127" s="8" t="n">
        <v>34.81</v>
      </c>
      <c r="F127" s="8" t="n">
        <f aca="false">E127-D127</f>
        <v>28.32</v>
      </c>
      <c r="G127" s="9" t="n">
        <f aca="false">IFERROR(F127/E127,"")</f>
        <v>0.813559322033898</v>
      </c>
      <c r="H127" s="8" t="n">
        <v>16.52</v>
      </c>
      <c r="I127" s="8" t="n">
        <f aca="false">H127-D127</f>
        <v>10.03</v>
      </c>
      <c r="J127" s="9" t="n">
        <f aca="false">IFERROR(I127/H127,"")</f>
        <v>0.607142857142857</v>
      </c>
      <c r="K127" s="8" t="n">
        <v>12.46</v>
      </c>
      <c r="L127" s="8" t="n">
        <f aca="false">K127-D127</f>
        <v>5.97</v>
      </c>
      <c r="M127" s="9" t="n">
        <f aca="false">IFERROR(L127/K127,"")</f>
        <v>0.479133226324238</v>
      </c>
      <c r="N127" s="8" t="n">
        <v>8.47</v>
      </c>
      <c r="O127" s="8" t="n">
        <f aca="false">N127-D127</f>
        <v>1.98</v>
      </c>
      <c r="P127" s="9" t="n">
        <f aca="false">IFERROR(O127/N127,"")</f>
        <v>0.233766233766234</v>
      </c>
      <c r="Q127" s="8" t="n">
        <v>7.54</v>
      </c>
      <c r="R127" s="8" t="n">
        <f aca="false">Q127-D127</f>
        <v>1.05</v>
      </c>
      <c r="S127" s="9" t="n">
        <f aca="false">IFERROR(R127/Q127,"")</f>
        <v>0.139257294429708</v>
      </c>
    </row>
    <row r="128" customFormat="false" ht="15" hidden="false" customHeight="false" outlineLevel="0" collapsed="false">
      <c r="A128" s="10" t="s">
        <v>158</v>
      </c>
      <c r="B128" s="11" t="s">
        <v>27</v>
      </c>
      <c r="C128" s="10" t="s">
        <v>159</v>
      </c>
      <c r="D128" s="12" t="n">
        <v>5.54</v>
      </c>
      <c r="E128" s="12" t="n">
        <v>37.59</v>
      </c>
      <c r="F128" s="12" t="n">
        <f aca="false">E128-D128</f>
        <v>32.05</v>
      </c>
      <c r="G128" s="13" t="n">
        <f aca="false">IFERROR(F128/E128,"")</f>
        <v>0.852620377760043</v>
      </c>
      <c r="H128" s="12" t="n">
        <v>23.49</v>
      </c>
      <c r="I128" s="12" t="n">
        <f aca="false">H128-D128</f>
        <v>17.95</v>
      </c>
      <c r="J128" s="13" t="n">
        <f aca="false">IFERROR(I128/H128,"")</f>
        <v>0.764154959557258</v>
      </c>
      <c r="K128" s="12" t="n">
        <v>17</v>
      </c>
      <c r="L128" s="12" t="n">
        <f aca="false">K128-D128</f>
        <v>11.46</v>
      </c>
      <c r="M128" s="13" t="n">
        <f aca="false">IFERROR(L128/K128,"")</f>
        <v>0.674117647058824</v>
      </c>
      <c r="N128" s="12" t="n">
        <v>12.74</v>
      </c>
      <c r="O128" s="12" t="n">
        <f aca="false">N128-D128</f>
        <v>7.2</v>
      </c>
      <c r="P128" s="13" t="n">
        <f aca="false">IFERROR(O128/N128,"")</f>
        <v>0.565149136577708</v>
      </c>
      <c r="Q128" s="12" t="n">
        <v>13.15</v>
      </c>
      <c r="R128" s="12" t="n">
        <f aca="false">Q128-D128</f>
        <v>7.61</v>
      </c>
      <c r="S128" s="13" t="n">
        <f aca="false">IFERROR(R128/Q128,"")</f>
        <v>0.578707224334601</v>
      </c>
    </row>
    <row r="129" customFormat="false" ht="15" hidden="false" customHeight="false" outlineLevel="0" collapsed="false">
      <c r="A129" s="6" t="s">
        <v>160</v>
      </c>
      <c r="B129" s="7" t="s">
        <v>27</v>
      </c>
      <c r="C129" s="6" t="s">
        <v>161</v>
      </c>
      <c r="D129" s="8" t="n">
        <v>5.88</v>
      </c>
      <c r="E129" s="8" t="n">
        <v>39.21</v>
      </c>
      <c r="F129" s="8" t="n">
        <f aca="false">E129-D129</f>
        <v>33.33</v>
      </c>
      <c r="G129" s="9" t="n">
        <f aca="false">IFERROR(F129/E129,"")</f>
        <v>0.850038255547054</v>
      </c>
      <c r="H129" s="8" t="n">
        <v>28.31</v>
      </c>
      <c r="I129" s="8" t="n">
        <f aca="false">H129-D129</f>
        <v>22.43</v>
      </c>
      <c r="J129" s="9" t="n">
        <f aca="false">IFERROR(I129/H129,"")</f>
        <v>0.792299540798305</v>
      </c>
      <c r="K129" s="8" t="n">
        <v>15.95</v>
      </c>
      <c r="L129" s="8" t="n">
        <f aca="false">K129-D129</f>
        <v>10.07</v>
      </c>
      <c r="M129" s="9" t="n">
        <f aca="false">IFERROR(L129/K129,"")</f>
        <v>0.631347962382445</v>
      </c>
      <c r="N129" s="8" t="n">
        <v>15.19</v>
      </c>
      <c r="O129" s="8" t="n">
        <f aca="false">N129-D129</f>
        <v>9.31</v>
      </c>
      <c r="P129" s="9" t="n">
        <f aca="false">IFERROR(O129/N129,"")</f>
        <v>0.612903225806452</v>
      </c>
      <c r="Q129" s="8" t="n">
        <v>11.47</v>
      </c>
      <c r="R129" s="8" t="n">
        <f aca="false">Q129-D129</f>
        <v>5.59</v>
      </c>
      <c r="S129" s="9" t="n">
        <f aca="false">IFERROR(R129/Q129,"")</f>
        <v>0.487358326068004</v>
      </c>
    </row>
    <row r="130" customFormat="false" ht="15" hidden="false" customHeight="false" outlineLevel="0" collapsed="false">
      <c r="A130" s="10" t="s">
        <v>160</v>
      </c>
      <c r="B130" s="11" t="s">
        <v>23</v>
      </c>
      <c r="C130" s="10" t="s">
        <v>161</v>
      </c>
      <c r="D130" s="12" t="n">
        <v>7.07</v>
      </c>
      <c r="E130" s="12" t="n">
        <v>42.5</v>
      </c>
      <c r="F130" s="12" t="n">
        <f aca="false">E130-D130</f>
        <v>35.43</v>
      </c>
      <c r="G130" s="13" t="n">
        <f aca="false">IFERROR(F130/E130,"")</f>
        <v>0.833647058823529</v>
      </c>
      <c r="H130" s="12" t="n">
        <v>30.51</v>
      </c>
      <c r="I130" s="12" t="n">
        <f aca="false">H130-D130</f>
        <v>23.44</v>
      </c>
      <c r="J130" s="13" t="n">
        <f aca="false">IFERROR(I130/H130,"")</f>
        <v>0.768272697476237</v>
      </c>
      <c r="K130" s="12" t="n">
        <v>19.03</v>
      </c>
      <c r="L130" s="12" t="n">
        <f aca="false">K130-D130</f>
        <v>11.96</v>
      </c>
      <c r="M130" s="13" t="n">
        <f aca="false">IFERROR(L130/K130,"")</f>
        <v>0.628481345244351</v>
      </c>
      <c r="N130" s="12" t="n">
        <v>16.78</v>
      </c>
      <c r="O130" s="12" t="n">
        <f aca="false">N130-D130</f>
        <v>9.71</v>
      </c>
      <c r="P130" s="13" t="n">
        <f aca="false">IFERROR(O130/N130,"")</f>
        <v>0.578665077473182</v>
      </c>
      <c r="Q130" s="12" t="n">
        <v>12.67</v>
      </c>
      <c r="R130" s="12" t="n">
        <f aca="false">Q130-D130</f>
        <v>5.6</v>
      </c>
      <c r="S130" s="13" t="n">
        <f aca="false">IFERROR(R130/Q130,"")</f>
        <v>0.441988950276243</v>
      </c>
    </row>
    <row r="131" customFormat="false" ht="15" hidden="false" customHeight="false" outlineLevel="0" collapsed="false">
      <c r="A131" s="6" t="s">
        <v>160</v>
      </c>
      <c r="B131" s="7" t="s">
        <v>25</v>
      </c>
      <c r="C131" s="6" t="s">
        <v>161</v>
      </c>
      <c r="D131" s="8" t="n">
        <v>7.78</v>
      </c>
      <c r="E131" s="8" t="n">
        <v>46.67</v>
      </c>
      <c r="F131" s="8" t="n">
        <f aca="false">E131-D131</f>
        <v>38.89</v>
      </c>
      <c r="G131" s="9" t="n">
        <f aca="false">IFERROR(F131/E131,"")</f>
        <v>0.833297621598457</v>
      </c>
      <c r="H131" s="8" t="n">
        <v>33.69</v>
      </c>
      <c r="I131" s="8" t="n">
        <f aca="false">H131-D131</f>
        <v>25.91</v>
      </c>
      <c r="J131" s="9" t="n">
        <f aca="false">IFERROR(I131/H131,"")</f>
        <v>0.769070940932027</v>
      </c>
      <c r="K131" s="8" t="n">
        <v>15.78</v>
      </c>
      <c r="L131" s="8" t="n">
        <f aca="false">K131-D131</f>
        <v>8</v>
      </c>
      <c r="M131" s="9" t="n">
        <f aca="false">IFERROR(L131/K131,"")</f>
        <v>0.506970849176172</v>
      </c>
      <c r="N131" s="8" t="n">
        <v>13.56</v>
      </c>
      <c r="O131" s="8" t="n">
        <f aca="false">N131-D131</f>
        <v>5.78</v>
      </c>
      <c r="P131" s="9" t="n">
        <f aca="false">IFERROR(O131/N131,"")</f>
        <v>0.426253687315634</v>
      </c>
      <c r="Q131" s="8" t="n">
        <v>13.57</v>
      </c>
      <c r="R131" s="8" t="n">
        <f aca="false">Q131-D131</f>
        <v>5.79</v>
      </c>
      <c r="S131" s="9" t="n">
        <f aca="false">IFERROR(R131/Q131,"")</f>
        <v>0.426676492262343</v>
      </c>
    </row>
    <row r="132" customFormat="false" ht="15" hidden="false" customHeight="false" outlineLevel="0" collapsed="false">
      <c r="A132" s="10" t="s">
        <v>162</v>
      </c>
      <c r="B132" s="11" t="s">
        <v>27</v>
      </c>
      <c r="C132" s="10" t="s">
        <v>163</v>
      </c>
      <c r="D132" s="12" t="n">
        <v>5.17</v>
      </c>
      <c r="E132" s="12" t="n">
        <v>31</v>
      </c>
      <c r="F132" s="12" t="n">
        <f aca="false">E132-D132</f>
        <v>25.83</v>
      </c>
      <c r="G132" s="13" t="n">
        <f aca="false">IFERROR(F132/E132,"")</f>
        <v>0.833225806451613</v>
      </c>
      <c r="H132" s="12" t="n">
        <v>17.63</v>
      </c>
      <c r="I132" s="12" t="n">
        <f aca="false">H132-D132</f>
        <v>12.46</v>
      </c>
      <c r="J132" s="13" t="n">
        <f aca="false">IFERROR(I132/H132,"")</f>
        <v>0.706749858196256</v>
      </c>
      <c r="K132" s="12" t="n">
        <v>12.34</v>
      </c>
      <c r="L132" s="12" t="n">
        <f aca="false">K132-D132</f>
        <v>7.17</v>
      </c>
      <c r="M132" s="13" t="n">
        <f aca="false">IFERROR(L132/K132,"")</f>
        <v>0.581037277147488</v>
      </c>
      <c r="N132" s="12" t="n">
        <v>9.96</v>
      </c>
      <c r="O132" s="12" t="n">
        <f aca="false">N132-D132</f>
        <v>4.79</v>
      </c>
      <c r="P132" s="13" t="n">
        <f aca="false">IFERROR(O132/N132,"")</f>
        <v>0.480923694779117</v>
      </c>
      <c r="Q132" s="12" t="n">
        <v>9.45</v>
      </c>
      <c r="R132" s="12" t="n">
        <f aca="false">Q132-D132</f>
        <v>4.28</v>
      </c>
      <c r="S132" s="13" t="n">
        <f aca="false">IFERROR(R132/Q132,"")</f>
        <v>0.452910052910053</v>
      </c>
    </row>
    <row r="133" customFormat="false" ht="15" hidden="false" customHeight="false" outlineLevel="0" collapsed="false">
      <c r="A133" s="6" t="s">
        <v>164</v>
      </c>
      <c r="B133" s="7" t="s">
        <v>27</v>
      </c>
      <c r="C133" s="6" t="s">
        <v>165</v>
      </c>
      <c r="D133" s="8" t="n">
        <v>4.8</v>
      </c>
      <c r="E133" s="8" t="n">
        <v>29</v>
      </c>
      <c r="F133" s="8" t="n">
        <f aca="false">E133-D133</f>
        <v>24.2</v>
      </c>
      <c r="G133" s="9" t="n">
        <f aca="false">IFERROR(F133/E133,"")</f>
        <v>0.83448275862069</v>
      </c>
      <c r="H133" s="8" t="n">
        <v>17.63</v>
      </c>
      <c r="I133" s="8" t="n">
        <f aca="false">H133-D133</f>
        <v>12.83</v>
      </c>
      <c r="J133" s="9" t="n">
        <f aca="false">IFERROR(I133/H133,"")</f>
        <v>0.727736812251843</v>
      </c>
      <c r="K133" s="8" t="n">
        <v>11.02</v>
      </c>
      <c r="L133" s="8" t="n">
        <f aca="false">K133-D133</f>
        <v>6.22</v>
      </c>
      <c r="M133" s="9" t="n">
        <f aca="false">IFERROR(L133/K133,"")</f>
        <v>0.56442831215971</v>
      </c>
      <c r="N133" s="8" t="n">
        <v>7.64</v>
      </c>
      <c r="O133" s="8" t="n">
        <f aca="false">N133-D133</f>
        <v>2.84</v>
      </c>
      <c r="P133" s="9" t="n">
        <f aca="false">IFERROR(O133/N133,"")</f>
        <v>0.3717277486911</v>
      </c>
      <c r="Q133" s="8" t="n">
        <v>8.55</v>
      </c>
      <c r="R133" s="8" t="n">
        <f aca="false">Q133-D133</f>
        <v>3.75</v>
      </c>
      <c r="S133" s="9" t="n">
        <f aca="false">IFERROR(R133/Q133,"")</f>
        <v>0.43859649122807</v>
      </c>
    </row>
    <row r="134" customFormat="false" ht="15" hidden="false" customHeight="false" outlineLevel="0" collapsed="false">
      <c r="A134" s="10" t="s">
        <v>164</v>
      </c>
      <c r="B134" s="11" t="s">
        <v>23</v>
      </c>
      <c r="C134" s="10" t="s">
        <v>166</v>
      </c>
      <c r="D134" s="12" t="n">
        <v>5.22</v>
      </c>
      <c r="E134" s="12" t="n">
        <v>33</v>
      </c>
      <c r="F134" s="12" t="n">
        <f aca="false">E134-D134</f>
        <v>27.78</v>
      </c>
      <c r="G134" s="13" t="n">
        <f aca="false">IFERROR(F134/E134,"")</f>
        <v>0.841818181818182</v>
      </c>
      <c r="H134" s="12" t="n">
        <v>20</v>
      </c>
      <c r="I134" s="12" t="n">
        <f aca="false">H134-D134</f>
        <v>14.78</v>
      </c>
      <c r="J134" s="13" t="n">
        <f aca="false">IFERROR(I134/H134,"")</f>
        <v>0.739</v>
      </c>
      <c r="K134" s="12" t="n">
        <v>12</v>
      </c>
      <c r="L134" s="12" t="n">
        <f aca="false">K134-D134</f>
        <v>6.78</v>
      </c>
      <c r="M134" s="13" t="n">
        <f aca="false">IFERROR(L134/K134,"")</f>
        <v>0.565</v>
      </c>
      <c r="N134" s="12" t="n">
        <v>8.81</v>
      </c>
      <c r="O134" s="12" t="n">
        <f aca="false">N134-D134</f>
        <v>3.59</v>
      </c>
      <c r="P134" s="13" t="n">
        <f aca="false">IFERROR(O134/N134,"")</f>
        <v>0.407491486946652</v>
      </c>
      <c r="Q134" s="12" t="n">
        <v>8.81</v>
      </c>
      <c r="R134" s="12" t="n">
        <f aca="false">Q134-D134</f>
        <v>3.59</v>
      </c>
      <c r="S134" s="13" t="n">
        <f aca="false">IFERROR(R134/Q134,"")</f>
        <v>0.407491486946652</v>
      </c>
    </row>
    <row r="135" customFormat="false" ht="15" hidden="false" customHeight="false" outlineLevel="0" collapsed="false">
      <c r="A135" s="6" t="s">
        <v>164</v>
      </c>
      <c r="B135" s="7" t="s">
        <v>25</v>
      </c>
      <c r="C135" s="6" t="s">
        <v>166</v>
      </c>
      <c r="D135" s="8" t="n">
        <v>5.74</v>
      </c>
      <c r="E135" s="8" t="n">
        <v>34.94</v>
      </c>
      <c r="F135" s="8" t="n">
        <f aca="false">E135-D135</f>
        <v>29.2</v>
      </c>
      <c r="G135" s="9" t="n">
        <f aca="false">IFERROR(F135/E135,"")</f>
        <v>0.835718374356039</v>
      </c>
      <c r="H135" s="8" t="n">
        <v>21.4</v>
      </c>
      <c r="I135" s="8" t="n">
        <f aca="false">H135-D135</f>
        <v>15.66</v>
      </c>
      <c r="J135" s="9" t="n">
        <f aca="false">IFERROR(I135/H135,"")</f>
        <v>0.731775700934579</v>
      </c>
      <c r="K135" s="8" t="n">
        <v>15.36</v>
      </c>
      <c r="L135" s="8" t="n">
        <f aca="false">K135-D135</f>
        <v>9.62</v>
      </c>
      <c r="M135" s="9" t="n">
        <f aca="false">IFERROR(L135/K135,"")</f>
        <v>0.626302083333333</v>
      </c>
      <c r="N135" s="8" t="n">
        <v>12.76</v>
      </c>
      <c r="O135" s="8" t="n">
        <f aca="false">N135-D135</f>
        <v>7.02</v>
      </c>
      <c r="P135" s="9" t="n">
        <f aca="false">IFERROR(O135/N135,"")</f>
        <v>0.550156739811912</v>
      </c>
      <c r="Q135" s="8" t="n">
        <v>8.96</v>
      </c>
      <c r="R135" s="8" t="n">
        <f aca="false">Q135-D135</f>
        <v>3.22</v>
      </c>
      <c r="S135" s="9" t="n">
        <f aca="false">IFERROR(R135/Q135,"")</f>
        <v>0.359375</v>
      </c>
    </row>
    <row r="136" customFormat="false" ht="15" hidden="false" customHeight="false" outlineLevel="0" collapsed="false">
      <c r="A136" s="10" t="s">
        <v>167</v>
      </c>
      <c r="B136" s="11" t="s">
        <v>27</v>
      </c>
      <c r="C136" s="10" t="s">
        <v>168</v>
      </c>
      <c r="D136" s="12" t="n">
        <v>4.97</v>
      </c>
      <c r="E136" s="12" t="n">
        <v>30</v>
      </c>
      <c r="F136" s="12" t="n">
        <f aca="false">E136-D136</f>
        <v>25.03</v>
      </c>
      <c r="G136" s="13" t="n">
        <f aca="false">IFERROR(F136/E136,"")</f>
        <v>0.834333333333333</v>
      </c>
      <c r="H136" s="12" t="n">
        <v>16.31</v>
      </c>
      <c r="I136" s="12" t="n">
        <f aca="false">H136-D136</f>
        <v>11.34</v>
      </c>
      <c r="J136" s="13" t="n">
        <f aca="false">IFERROR(I136/H136,"")</f>
        <v>0.695278969957082</v>
      </c>
      <c r="K136" s="12" t="n">
        <v>12.74</v>
      </c>
      <c r="L136" s="12" t="n">
        <f aca="false">K136-D136</f>
        <v>7.77</v>
      </c>
      <c r="M136" s="13" t="n">
        <f aca="false">IFERROR(L136/K136,"")</f>
        <v>0.60989010989011</v>
      </c>
      <c r="N136" s="12" t="n">
        <v>9.34</v>
      </c>
      <c r="O136" s="12" t="n">
        <f aca="false">N136-D136</f>
        <v>4.37</v>
      </c>
      <c r="P136" s="13" t="n">
        <f aca="false">IFERROR(O136/N136,"")</f>
        <v>0.467880085653105</v>
      </c>
      <c r="Q136" s="12" t="n">
        <v>9.28</v>
      </c>
      <c r="R136" s="12" t="n">
        <f aca="false">Q136-D136</f>
        <v>4.31</v>
      </c>
      <c r="S136" s="13" t="n">
        <f aca="false">IFERROR(R136/Q136,"")</f>
        <v>0.464439655172414</v>
      </c>
    </row>
    <row r="137" customFormat="false" ht="15" hidden="false" customHeight="false" outlineLevel="0" collapsed="false">
      <c r="A137" s="6" t="s">
        <v>167</v>
      </c>
      <c r="B137" s="7" t="s">
        <v>23</v>
      </c>
      <c r="C137" s="6" t="s">
        <v>168</v>
      </c>
      <c r="D137" s="8" t="n">
        <v>5.4</v>
      </c>
      <c r="E137" s="8" t="n">
        <v>30.74</v>
      </c>
      <c r="F137" s="8" t="n">
        <f aca="false">E137-D137</f>
        <v>25.34</v>
      </c>
      <c r="G137" s="9" t="n">
        <f aca="false">IFERROR(F137/E137,"")</f>
        <v>0.824333116460638</v>
      </c>
      <c r="H137" s="8" t="n">
        <v>19.2</v>
      </c>
      <c r="I137" s="8" t="n">
        <f aca="false">H137-D137</f>
        <v>13.8</v>
      </c>
      <c r="J137" s="9" t="n">
        <f aca="false">IFERROR(I137/H137,"")</f>
        <v>0.71875</v>
      </c>
      <c r="K137" s="8" t="n">
        <v>16.73</v>
      </c>
      <c r="L137" s="8" t="n">
        <f aca="false">K137-D137</f>
        <v>11.33</v>
      </c>
      <c r="M137" s="9" t="n">
        <f aca="false">IFERROR(L137/K137,"")</f>
        <v>0.677226539151225</v>
      </c>
      <c r="N137" s="8" t="n">
        <v>14.88</v>
      </c>
      <c r="O137" s="8" t="n">
        <f aca="false">N137-D137</f>
        <v>9.48</v>
      </c>
      <c r="P137" s="9" t="n">
        <f aca="false">IFERROR(O137/N137,"")</f>
        <v>0.637096774193548</v>
      </c>
      <c r="Q137" s="8" t="n">
        <v>14.04</v>
      </c>
      <c r="R137" s="8" t="n">
        <f aca="false">Q137-D137</f>
        <v>8.64</v>
      </c>
      <c r="S137" s="9" t="n">
        <f aca="false">IFERROR(R137/Q137,"")</f>
        <v>0.615384615384615</v>
      </c>
    </row>
    <row r="138" customFormat="false" ht="15" hidden="false" customHeight="false" outlineLevel="0" collapsed="false">
      <c r="A138" s="10" t="s">
        <v>167</v>
      </c>
      <c r="B138" s="11" t="s">
        <v>25</v>
      </c>
      <c r="C138" s="10" t="s">
        <v>168</v>
      </c>
      <c r="D138" s="12" t="n">
        <v>5.94</v>
      </c>
      <c r="E138" s="12" t="n">
        <v>37.4</v>
      </c>
      <c r="F138" s="12" t="n">
        <f aca="false">E138-D138</f>
        <v>31.46</v>
      </c>
      <c r="G138" s="13" t="n">
        <f aca="false">IFERROR(F138/E138,"")</f>
        <v>0.841176470588235</v>
      </c>
      <c r="H138" s="12" t="n">
        <v>23.37</v>
      </c>
      <c r="I138" s="12" t="n">
        <f aca="false">H138-D138</f>
        <v>17.43</v>
      </c>
      <c r="J138" s="13" t="n">
        <f aca="false">IFERROR(I138/H138,"")</f>
        <v>0.745827984595635</v>
      </c>
      <c r="K138" s="12" t="n">
        <v>18.06</v>
      </c>
      <c r="L138" s="12" t="n">
        <f aca="false">K138-D138</f>
        <v>12.12</v>
      </c>
      <c r="M138" s="13" t="n">
        <f aca="false">IFERROR(L138/K138,"")</f>
        <v>0.67109634551495</v>
      </c>
      <c r="N138" s="12" t="n">
        <v>17.6</v>
      </c>
      <c r="O138" s="12" t="n">
        <f aca="false">N138-D138</f>
        <v>11.66</v>
      </c>
      <c r="P138" s="13" t="n">
        <f aca="false">IFERROR(O138/N138,"")</f>
        <v>0.6625</v>
      </c>
      <c r="Q138" s="12" t="n">
        <v>10.04</v>
      </c>
      <c r="R138" s="12" t="n">
        <f aca="false">Q138-D138</f>
        <v>4.1</v>
      </c>
      <c r="S138" s="13" t="n">
        <f aca="false">IFERROR(R138/Q138,"")</f>
        <v>0.408366533864542</v>
      </c>
    </row>
    <row r="139" customFormat="false" ht="15" hidden="false" customHeight="false" outlineLevel="0" collapsed="false">
      <c r="A139" s="6" t="s">
        <v>169</v>
      </c>
      <c r="B139" s="7" t="s">
        <v>27</v>
      </c>
      <c r="C139" s="6" t="s">
        <v>170</v>
      </c>
      <c r="D139" s="8" t="n">
        <v>4.86</v>
      </c>
      <c r="E139" s="8" t="n">
        <v>28.46</v>
      </c>
      <c r="F139" s="8" t="n">
        <f aca="false">E139-D139</f>
        <v>23.6</v>
      </c>
      <c r="G139" s="9" t="n">
        <f aca="false">IFERROR(F139/E139,"")</f>
        <v>0.829234012649332</v>
      </c>
      <c r="H139" s="8" t="n">
        <v>18.01</v>
      </c>
      <c r="I139" s="8" t="n">
        <f aca="false">H139-D139</f>
        <v>13.15</v>
      </c>
      <c r="J139" s="9" t="n">
        <f aca="false">IFERROR(I139/H139,"")</f>
        <v>0.730149916712937</v>
      </c>
      <c r="K139" s="8" t="n">
        <v>10.51</v>
      </c>
      <c r="L139" s="8" t="n">
        <f aca="false">K139-D139</f>
        <v>5.65</v>
      </c>
      <c r="M139" s="9" t="n">
        <f aca="false">IFERROR(L139/K139,"")</f>
        <v>0.537583254043768</v>
      </c>
      <c r="N139" s="8" t="n">
        <v>10.19</v>
      </c>
      <c r="O139" s="8" t="n">
        <f aca="false">N139-D139</f>
        <v>5.33</v>
      </c>
      <c r="P139" s="9" t="n">
        <f aca="false">IFERROR(O139/N139,"")</f>
        <v>0.52306182531894</v>
      </c>
      <c r="Q139" s="8" t="n">
        <v>9.82</v>
      </c>
      <c r="R139" s="8" t="n">
        <f aca="false">Q139-D139</f>
        <v>4.96</v>
      </c>
      <c r="S139" s="9" t="n">
        <f aca="false">IFERROR(R139/Q139,"")</f>
        <v>0.505091649694501</v>
      </c>
    </row>
    <row r="140" customFormat="false" ht="15" hidden="false" customHeight="false" outlineLevel="0" collapsed="false">
      <c r="A140" s="10" t="s">
        <v>171</v>
      </c>
      <c r="B140" s="11" t="s">
        <v>27</v>
      </c>
      <c r="C140" s="10" t="s">
        <v>172</v>
      </c>
      <c r="D140" s="12" t="n">
        <v>4.8</v>
      </c>
      <c r="E140" s="12" t="n">
        <v>37.59</v>
      </c>
      <c r="F140" s="12" t="n">
        <f aca="false">E140-D140</f>
        <v>32.79</v>
      </c>
      <c r="G140" s="13" t="n">
        <f aca="false">IFERROR(F140/E140,"")</f>
        <v>0.872306464485236</v>
      </c>
      <c r="H140" s="12" t="n">
        <v>16.99</v>
      </c>
      <c r="I140" s="12" t="n">
        <f aca="false">H140-D140</f>
        <v>12.19</v>
      </c>
      <c r="J140" s="13" t="n">
        <f aca="false">IFERROR(I140/H140,"")</f>
        <v>0.717480871100647</v>
      </c>
      <c r="K140" s="12" t="n">
        <v>10.93</v>
      </c>
      <c r="L140" s="12" t="n">
        <f aca="false">K140-D140</f>
        <v>6.13</v>
      </c>
      <c r="M140" s="13" t="n">
        <f aca="false">IFERROR(L140/K140,"")</f>
        <v>0.560841720036597</v>
      </c>
      <c r="N140" s="12" t="n">
        <v>9.41</v>
      </c>
      <c r="O140" s="12" t="n">
        <f aca="false">N140-D140</f>
        <v>4.61</v>
      </c>
      <c r="P140" s="13" t="n">
        <f aca="false">IFERROR(O140/N140,"")</f>
        <v>0.48990435706695</v>
      </c>
      <c r="Q140" s="12" t="n">
        <v>9.23</v>
      </c>
      <c r="R140" s="12" t="n">
        <f aca="false">Q140-D140</f>
        <v>4.43</v>
      </c>
      <c r="S140" s="13" t="n">
        <f aca="false">IFERROR(R140/Q140,"")</f>
        <v>0.479956663055255</v>
      </c>
    </row>
    <row r="141" customFormat="false" ht="15" hidden="false" customHeight="false" outlineLevel="0" collapsed="false">
      <c r="A141" s="6" t="s">
        <v>173</v>
      </c>
      <c r="B141" s="7" t="s">
        <v>27</v>
      </c>
      <c r="C141" s="6" t="s">
        <v>174</v>
      </c>
      <c r="D141" s="8" t="n">
        <v>4.99</v>
      </c>
      <c r="E141" s="8" t="n">
        <v>34.13</v>
      </c>
      <c r="F141" s="8" t="n">
        <f aca="false">E141-D141</f>
        <v>29.14</v>
      </c>
      <c r="G141" s="9" t="n">
        <f aca="false">IFERROR(F141/E141,"")</f>
        <v>0.853794315851157</v>
      </c>
      <c r="H141" s="8" t="n">
        <v>20.68</v>
      </c>
      <c r="I141" s="8" t="n">
        <f aca="false">H141-D141</f>
        <v>15.69</v>
      </c>
      <c r="J141" s="9" t="n">
        <f aca="false">IFERROR(I141/H141,"")</f>
        <v>0.758704061895551</v>
      </c>
      <c r="K141" s="8" t="n">
        <v>13.74</v>
      </c>
      <c r="L141" s="8" t="n">
        <f aca="false">K141-D141</f>
        <v>8.75</v>
      </c>
      <c r="M141" s="9" t="n">
        <f aca="false">IFERROR(L141/K141,"")</f>
        <v>0.636826783114993</v>
      </c>
      <c r="N141" s="8" t="n">
        <v>12.86</v>
      </c>
      <c r="O141" s="8" t="n">
        <f aca="false">N141-D141</f>
        <v>7.87</v>
      </c>
      <c r="P141" s="9" t="n">
        <f aca="false">IFERROR(O141/N141,"")</f>
        <v>0.611975116640746</v>
      </c>
      <c r="Q141" s="8" t="n">
        <v>10.01</v>
      </c>
      <c r="R141" s="8" t="n">
        <f aca="false">Q141-D141</f>
        <v>5.02</v>
      </c>
      <c r="S141" s="9" t="n">
        <f aca="false">IFERROR(R141/Q141,"")</f>
        <v>0.501498501498502</v>
      </c>
    </row>
    <row r="142" customFormat="false" ht="15" hidden="false" customHeight="false" outlineLevel="0" collapsed="false">
      <c r="A142" s="10" t="s">
        <v>173</v>
      </c>
      <c r="B142" s="11" t="s">
        <v>23</v>
      </c>
      <c r="C142" s="10" t="s">
        <v>174</v>
      </c>
      <c r="D142" s="12" t="n">
        <v>5.44</v>
      </c>
      <c r="E142" s="12" t="n">
        <v>37.83</v>
      </c>
      <c r="F142" s="12" t="n">
        <f aca="false">E142-D142</f>
        <v>32.39</v>
      </c>
      <c r="G142" s="13" t="n">
        <f aca="false">IFERROR(F142/E142,"")</f>
        <v>0.856198784033836</v>
      </c>
      <c r="H142" s="12" t="n">
        <v>22.79</v>
      </c>
      <c r="I142" s="12" t="n">
        <f aca="false">H142-D142</f>
        <v>17.35</v>
      </c>
      <c r="J142" s="13" t="n">
        <f aca="false">IFERROR(I142/H142,"")</f>
        <v>0.761298815269855</v>
      </c>
      <c r="K142" s="12" t="n">
        <v>16.77</v>
      </c>
      <c r="L142" s="12" t="n">
        <f aca="false">K142-D142</f>
        <v>11.33</v>
      </c>
      <c r="M142" s="13" t="n">
        <f aca="false">IFERROR(L142/K142,"")</f>
        <v>0.675611210494931</v>
      </c>
      <c r="N142" s="12" t="n">
        <v>14.53</v>
      </c>
      <c r="O142" s="12" t="n">
        <f aca="false">N142-D142</f>
        <v>9.09</v>
      </c>
      <c r="P142" s="13" t="n">
        <f aca="false">IFERROR(O142/N142,"")</f>
        <v>0.625602202339986</v>
      </c>
      <c r="Q142" s="12" t="n">
        <v>11.31</v>
      </c>
      <c r="R142" s="12" t="n">
        <f aca="false">Q142-D142</f>
        <v>5.87</v>
      </c>
      <c r="S142" s="13" t="n">
        <f aca="false">IFERROR(R142/Q142,"")</f>
        <v>0.519009725906278</v>
      </c>
    </row>
    <row r="143" customFormat="false" ht="15" hidden="false" customHeight="false" outlineLevel="0" collapsed="false">
      <c r="A143" s="6" t="s">
        <v>173</v>
      </c>
      <c r="B143" s="7" t="s">
        <v>25</v>
      </c>
      <c r="C143" s="6" t="s">
        <v>174</v>
      </c>
      <c r="D143" s="8" t="n">
        <v>5.98</v>
      </c>
      <c r="E143" s="8" t="n">
        <v>36.55</v>
      </c>
      <c r="F143" s="8" t="n">
        <f aca="false">E143-D143</f>
        <v>30.57</v>
      </c>
      <c r="G143" s="9" t="n">
        <f aca="false">IFERROR(F143/E143,"")</f>
        <v>0.836388508891929</v>
      </c>
      <c r="H143" s="8" t="n">
        <v>22.52</v>
      </c>
      <c r="I143" s="8" t="n">
        <f aca="false">H143-D143</f>
        <v>16.54</v>
      </c>
      <c r="J143" s="9" t="n">
        <f aca="false">IFERROR(I143/H143,"")</f>
        <v>0.734458259325044</v>
      </c>
      <c r="K143" s="8" t="n">
        <v>18.06</v>
      </c>
      <c r="L143" s="8" t="n">
        <f aca="false">K143-D143</f>
        <v>12.08</v>
      </c>
      <c r="M143" s="9" t="n">
        <f aca="false">IFERROR(L143/K143,"")</f>
        <v>0.668881506090808</v>
      </c>
      <c r="N143" s="8" t="n">
        <v>15.65</v>
      </c>
      <c r="O143" s="8" t="n">
        <f aca="false">N143-D143</f>
        <v>9.67</v>
      </c>
      <c r="P143" s="9" t="n">
        <f aca="false">IFERROR(O143/N143,"")</f>
        <v>0.617891373801917</v>
      </c>
      <c r="Q143" s="8" t="n">
        <v>12.18</v>
      </c>
      <c r="R143" s="8" t="n">
        <f aca="false">Q143-D143</f>
        <v>6.2</v>
      </c>
      <c r="S143" s="9" t="n">
        <f aca="false">IFERROR(R143/Q143,"")</f>
        <v>0.509031198686371</v>
      </c>
    </row>
    <row r="144" customFormat="false" ht="15" hidden="false" customHeight="false" outlineLevel="0" collapsed="false">
      <c r="A144" s="10" t="s">
        <v>175</v>
      </c>
      <c r="B144" s="11" t="s">
        <v>27</v>
      </c>
      <c r="C144" s="10" t="s">
        <v>176</v>
      </c>
      <c r="D144" s="12" t="n">
        <v>5.31</v>
      </c>
      <c r="E144" s="12" t="n">
        <v>31.64</v>
      </c>
      <c r="F144" s="12" t="n">
        <f aca="false">E144-D144</f>
        <v>26.33</v>
      </c>
      <c r="G144" s="13" t="n">
        <f aca="false">IFERROR(F144/E144,"")</f>
        <v>0.832174462705436</v>
      </c>
      <c r="H144" s="12" t="n">
        <v>17.7</v>
      </c>
      <c r="I144" s="12" t="n">
        <f aca="false">H144-D144</f>
        <v>12.39</v>
      </c>
      <c r="J144" s="13" t="n">
        <f aca="false">IFERROR(I144/H144,"")</f>
        <v>0.7</v>
      </c>
      <c r="K144" s="12" t="n">
        <v>13.46</v>
      </c>
      <c r="L144" s="12" t="n">
        <f aca="false">K144-D144</f>
        <v>8.15</v>
      </c>
      <c r="M144" s="13" t="n">
        <f aca="false">IFERROR(L144/K144,"")</f>
        <v>0.605497771173849</v>
      </c>
      <c r="N144" s="12" t="n">
        <v>10.35</v>
      </c>
      <c r="O144" s="12" t="n">
        <f aca="false">N144-D144</f>
        <v>5.04</v>
      </c>
      <c r="P144" s="13" t="n">
        <f aca="false">IFERROR(O144/N144,"")</f>
        <v>0.48695652173913</v>
      </c>
      <c r="Q144" s="12" t="n">
        <v>9.44</v>
      </c>
      <c r="R144" s="12" t="n">
        <f aca="false">Q144-D144</f>
        <v>4.13</v>
      </c>
      <c r="S144" s="13" t="n">
        <f aca="false">IFERROR(R144/Q144,"")</f>
        <v>0.4375</v>
      </c>
    </row>
    <row r="145" customFormat="false" ht="15" hidden="false" customHeight="false" outlineLevel="0" collapsed="false">
      <c r="A145" s="6" t="s">
        <v>177</v>
      </c>
      <c r="B145" s="7" t="s">
        <v>27</v>
      </c>
      <c r="C145" s="6" t="s">
        <v>178</v>
      </c>
      <c r="D145" s="8" t="n">
        <v>5.31</v>
      </c>
      <c r="E145" s="8" t="n">
        <v>26.34</v>
      </c>
      <c r="F145" s="8" t="n">
        <f aca="false">E145-D145</f>
        <v>21.03</v>
      </c>
      <c r="G145" s="9" t="n">
        <f aca="false">IFERROR(F145/E145,"")</f>
        <v>0.798405466970387</v>
      </c>
      <c r="H145" s="8" t="n">
        <v>15.01</v>
      </c>
      <c r="I145" s="8" t="n">
        <f aca="false">H145-D145</f>
        <v>9.7</v>
      </c>
      <c r="J145" s="9" t="n">
        <f aca="false">IFERROR(I145/H145,"")</f>
        <v>0.646235842771486</v>
      </c>
      <c r="K145" s="8" t="n">
        <v>9.25</v>
      </c>
      <c r="L145" s="8" t="n">
        <f aca="false">K145-D145</f>
        <v>3.94</v>
      </c>
      <c r="M145" s="9" t="n">
        <f aca="false">IFERROR(L145/K145,"")</f>
        <v>0.425945945945946</v>
      </c>
      <c r="N145" s="8" t="n">
        <v>6.74</v>
      </c>
      <c r="O145" s="8" t="n">
        <f aca="false">N145-D145</f>
        <v>1.43</v>
      </c>
      <c r="P145" s="9" t="n">
        <f aca="false">IFERROR(O145/N145,"")</f>
        <v>0.212166172106825</v>
      </c>
      <c r="Q145" s="8" t="n">
        <v>5.99</v>
      </c>
      <c r="R145" s="8" t="n">
        <f aca="false">Q145-D145</f>
        <v>0.680000000000001</v>
      </c>
      <c r="S145" s="9" t="n">
        <f aca="false">IFERROR(R145/Q145,"")</f>
        <v>0.113522537562604</v>
      </c>
    </row>
    <row r="146" customFormat="false" ht="15" hidden="false" customHeight="false" outlineLevel="0" collapsed="false">
      <c r="A146" s="10" t="s">
        <v>177</v>
      </c>
      <c r="B146" s="11" t="s">
        <v>23</v>
      </c>
      <c r="C146" s="10" t="s">
        <v>178</v>
      </c>
      <c r="D146" s="12" t="n">
        <v>6.16</v>
      </c>
      <c r="E146" s="12" t="n">
        <v>30.32</v>
      </c>
      <c r="F146" s="12" t="n">
        <f aca="false">E146-D146</f>
        <v>24.16</v>
      </c>
      <c r="G146" s="13" t="n">
        <f aca="false">IFERROR(F146/E146,"")</f>
        <v>0.796833773087071</v>
      </c>
      <c r="H146" s="12" t="n">
        <v>21.19</v>
      </c>
      <c r="I146" s="12" t="n">
        <f aca="false">H146-D146</f>
        <v>15.03</v>
      </c>
      <c r="J146" s="13" t="n">
        <f aca="false">IFERROR(I146/H146,"")</f>
        <v>0.709296838131194</v>
      </c>
      <c r="K146" s="12" t="n">
        <v>9.57</v>
      </c>
      <c r="L146" s="12" t="n">
        <f aca="false">K146-D146</f>
        <v>3.41</v>
      </c>
      <c r="M146" s="13" t="n">
        <f aca="false">IFERROR(L146/K146,"")</f>
        <v>0.35632183908046</v>
      </c>
      <c r="N146" s="12" t="n">
        <v>9.91</v>
      </c>
      <c r="O146" s="12" t="n">
        <f aca="false">N146-D146</f>
        <v>3.75</v>
      </c>
      <c r="P146" s="13" t="n">
        <f aca="false">IFERROR(O146/N146,"")</f>
        <v>0.37840565085772</v>
      </c>
      <c r="Q146" s="12" t="n">
        <v>8.3</v>
      </c>
      <c r="R146" s="12" t="n">
        <f aca="false">Q146-D146</f>
        <v>2.14</v>
      </c>
      <c r="S146" s="13" t="n">
        <f aca="false">IFERROR(R146/Q146,"")</f>
        <v>0.257831325301205</v>
      </c>
    </row>
    <row r="147" customFormat="false" ht="15" hidden="false" customHeight="false" outlineLevel="0" collapsed="false">
      <c r="A147" s="6" t="s">
        <v>177</v>
      </c>
      <c r="B147" s="7" t="s">
        <v>25</v>
      </c>
      <c r="C147" s="6" t="s">
        <v>178</v>
      </c>
      <c r="D147" s="8" t="n">
        <v>6.77</v>
      </c>
      <c r="E147" s="8" t="n">
        <v>30.09</v>
      </c>
      <c r="F147" s="8" t="n">
        <f aca="false">E147-D147</f>
        <v>23.32</v>
      </c>
      <c r="G147" s="9" t="n">
        <f aca="false">IFERROR(F147/E147,"")</f>
        <v>0.775008308408109</v>
      </c>
      <c r="H147" s="8" t="n">
        <v>19.41</v>
      </c>
      <c r="I147" s="8" t="n">
        <f aca="false">H147-D147</f>
        <v>12.64</v>
      </c>
      <c r="J147" s="9" t="n">
        <f aca="false">IFERROR(I147/H147,"")</f>
        <v>0.651210716125709</v>
      </c>
      <c r="K147" s="8" t="n">
        <v>13.11</v>
      </c>
      <c r="L147" s="8" t="n">
        <f aca="false">K147-D147</f>
        <v>6.34</v>
      </c>
      <c r="M147" s="9" t="n">
        <f aca="false">IFERROR(L147/K147,"")</f>
        <v>0.483600305110603</v>
      </c>
      <c r="N147" s="8" t="n">
        <v>9.64</v>
      </c>
      <c r="O147" s="8" t="n">
        <f aca="false">N147-D147</f>
        <v>2.87</v>
      </c>
      <c r="P147" s="9" t="n">
        <f aca="false">IFERROR(O147/N147,"")</f>
        <v>0.297717842323652</v>
      </c>
      <c r="Q147" s="8" t="n">
        <v>9.68</v>
      </c>
      <c r="R147" s="8" t="n">
        <f aca="false">Q147-D147</f>
        <v>2.91</v>
      </c>
      <c r="S147" s="9" t="n">
        <f aca="false">IFERROR(R147/Q147,"")</f>
        <v>0.300619834710744</v>
      </c>
    </row>
    <row r="148" customFormat="false" ht="15" hidden="false" customHeight="false" outlineLevel="0" collapsed="false">
      <c r="A148" s="10" t="s">
        <v>179</v>
      </c>
      <c r="B148" s="11" t="s">
        <v>27</v>
      </c>
      <c r="C148" s="10" t="s">
        <v>180</v>
      </c>
      <c r="D148" s="12" t="n">
        <v>5.49</v>
      </c>
      <c r="E148" s="12" t="n">
        <v>32</v>
      </c>
      <c r="F148" s="12" t="n">
        <f aca="false">E148-D148</f>
        <v>26.51</v>
      </c>
      <c r="G148" s="13" t="n">
        <f aca="false">IFERROR(F148/E148,"")</f>
        <v>0.8284375</v>
      </c>
      <c r="H148" s="12" t="n">
        <v>17.63</v>
      </c>
      <c r="I148" s="12" t="n">
        <f aca="false">H148-D148</f>
        <v>12.14</v>
      </c>
      <c r="J148" s="13" t="n">
        <f aca="false">IFERROR(I148/H148,"")</f>
        <v>0.688598979013046</v>
      </c>
      <c r="K148" s="12" t="n">
        <v>10.62</v>
      </c>
      <c r="L148" s="12" t="n">
        <f aca="false">K148-D148</f>
        <v>5.13</v>
      </c>
      <c r="M148" s="13" t="n">
        <f aca="false">IFERROR(L148/K148,"")</f>
        <v>0.483050847457627</v>
      </c>
      <c r="N148" s="12" t="n">
        <v>8.69</v>
      </c>
      <c r="O148" s="12" t="n">
        <f aca="false">N148-D148</f>
        <v>3.2</v>
      </c>
      <c r="P148" s="13" t="n">
        <f aca="false">IFERROR(O148/N148,"")</f>
        <v>0.368239355581128</v>
      </c>
      <c r="Q148" s="12" t="n">
        <v>8.55</v>
      </c>
      <c r="R148" s="12" t="n">
        <f aca="false">Q148-D148</f>
        <v>3.06</v>
      </c>
      <c r="S148" s="13" t="n">
        <f aca="false">IFERROR(R148/Q148,"")</f>
        <v>0.357894736842105</v>
      </c>
    </row>
    <row r="149" customFormat="false" ht="15" hidden="false" customHeight="false" outlineLevel="0" collapsed="false">
      <c r="A149" s="6" t="s">
        <v>179</v>
      </c>
      <c r="B149" s="7" t="s">
        <v>23</v>
      </c>
      <c r="C149" s="6" t="s">
        <v>180</v>
      </c>
      <c r="D149" s="8" t="n">
        <v>6.61</v>
      </c>
      <c r="E149" s="8" t="n">
        <v>31.96</v>
      </c>
      <c r="F149" s="8" t="n">
        <f aca="false">E149-D149</f>
        <v>25.35</v>
      </c>
      <c r="G149" s="9" t="n">
        <f aca="false">IFERROR(F149/E149,"")</f>
        <v>0.793178973717146</v>
      </c>
      <c r="H149" s="8" t="n">
        <v>19.73</v>
      </c>
      <c r="I149" s="8" t="n">
        <f aca="false">H149-D149</f>
        <v>13.12</v>
      </c>
      <c r="J149" s="9" t="n">
        <f aca="false">IFERROR(I149/H149,"")</f>
        <v>0.664977192093259</v>
      </c>
      <c r="K149" s="8" t="n">
        <v>13.82</v>
      </c>
      <c r="L149" s="8" t="n">
        <f aca="false">K149-D149</f>
        <v>7.21</v>
      </c>
      <c r="M149" s="9" t="n">
        <f aca="false">IFERROR(L149/K149,"")</f>
        <v>0.521707670043415</v>
      </c>
      <c r="N149" s="8" t="n">
        <v>10.29</v>
      </c>
      <c r="O149" s="8" t="n">
        <f aca="false">N149-D149</f>
        <v>3.68</v>
      </c>
      <c r="P149" s="9" t="n">
        <f aca="false">IFERROR(O149/N149,"")</f>
        <v>0.357628765792031</v>
      </c>
      <c r="Q149" s="8" t="n">
        <v>10.29</v>
      </c>
      <c r="R149" s="8" t="n">
        <f aca="false">Q149-D149</f>
        <v>3.68</v>
      </c>
      <c r="S149" s="9" t="n">
        <f aca="false">IFERROR(R149/Q149,"")</f>
        <v>0.357628765792031</v>
      </c>
    </row>
    <row r="150" customFormat="false" ht="15" hidden="false" customHeight="false" outlineLevel="0" collapsed="false">
      <c r="A150" s="10" t="s">
        <v>179</v>
      </c>
      <c r="B150" s="11" t="s">
        <v>25</v>
      </c>
      <c r="C150" s="10" t="s">
        <v>180</v>
      </c>
      <c r="D150" s="12" t="n">
        <v>7.27</v>
      </c>
      <c r="E150" s="12" t="n">
        <v>33.85</v>
      </c>
      <c r="F150" s="12" t="n">
        <f aca="false">E150-D150</f>
        <v>26.58</v>
      </c>
      <c r="G150" s="13" t="n">
        <f aca="false">IFERROR(F150/E150,"")</f>
        <v>0.785228951255539</v>
      </c>
      <c r="H150" s="12" t="n">
        <v>21.14</v>
      </c>
      <c r="I150" s="12" t="n">
        <f aca="false">H150-D150</f>
        <v>13.87</v>
      </c>
      <c r="J150" s="13" t="n">
        <f aca="false">IFERROR(I150/H150,"")</f>
        <v>0.656102175969726</v>
      </c>
      <c r="K150" s="12" t="n">
        <v>15.93</v>
      </c>
      <c r="L150" s="12" t="n">
        <f aca="false">K150-D150</f>
        <v>8.66</v>
      </c>
      <c r="M150" s="13" t="n">
        <f aca="false">IFERROR(L150/K150,"")</f>
        <v>0.543628374136849</v>
      </c>
      <c r="N150" s="12" t="n">
        <v>12.65</v>
      </c>
      <c r="O150" s="12" t="n">
        <f aca="false">N150-D150</f>
        <v>5.38</v>
      </c>
      <c r="P150" s="13" t="n">
        <f aca="false">IFERROR(O150/N150,"")</f>
        <v>0.425296442687747</v>
      </c>
      <c r="Q150" s="12" t="n">
        <v>12.58</v>
      </c>
      <c r="R150" s="12" t="n">
        <f aca="false">Q150-D150</f>
        <v>5.31</v>
      </c>
      <c r="S150" s="13" t="n">
        <f aca="false">IFERROR(R150/Q150,"")</f>
        <v>0.422098569157393</v>
      </c>
    </row>
    <row r="151" customFormat="false" ht="15" hidden="false" customHeight="false" outlineLevel="0" collapsed="false">
      <c r="A151" s="6" t="s">
        <v>181</v>
      </c>
      <c r="B151" s="7" t="s">
        <v>27</v>
      </c>
      <c r="C151" s="6" t="s">
        <v>182</v>
      </c>
      <c r="D151" s="8" t="n">
        <v>6.08</v>
      </c>
      <c r="E151" s="8" t="n">
        <v>40.43</v>
      </c>
      <c r="F151" s="8" t="n">
        <f aca="false">E151-D151</f>
        <v>34.35</v>
      </c>
      <c r="G151" s="9" t="n">
        <f aca="false">IFERROR(F151/E151,"")</f>
        <v>0.849616621320801</v>
      </c>
      <c r="H151" s="8" t="n">
        <v>20.89</v>
      </c>
      <c r="I151" s="8" t="n">
        <f aca="false">H151-D151</f>
        <v>14.81</v>
      </c>
      <c r="J151" s="9" t="n">
        <f aca="false">IFERROR(I151/H151,"")</f>
        <v>0.708951651507899</v>
      </c>
      <c r="K151" s="8" t="n">
        <v>13.21</v>
      </c>
      <c r="L151" s="8" t="n">
        <f aca="false">K151-D151</f>
        <v>7.13</v>
      </c>
      <c r="M151" s="9" t="n">
        <f aca="false">IFERROR(L151/K151,"")</f>
        <v>0.539742619227858</v>
      </c>
      <c r="N151" s="8" t="n">
        <v>11.23</v>
      </c>
      <c r="O151" s="8" t="n">
        <f aca="false">N151-D151</f>
        <v>5.15</v>
      </c>
      <c r="P151" s="9" t="n">
        <f aca="false">IFERROR(O151/N151,"")</f>
        <v>0.458593054318789</v>
      </c>
      <c r="Q151" s="8" t="n">
        <v>11.23</v>
      </c>
      <c r="R151" s="8" t="n">
        <f aca="false">Q151-D151</f>
        <v>5.15</v>
      </c>
      <c r="S151" s="9" t="n">
        <f aca="false">IFERROR(R151/Q151,"")</f>
        <v>0.458593054318789</v>
      </c>
    </row>
    <row r="152" customFormat="false" ht="15" hidden="false" customHeight="false" outlineLevel="0" collapsed="false">
      <c r="A152" s="10" t="s">
        <v>181</v>
      </c>
      <c r="B152" s="11" t="s">
        <v>23</v>
      </c>
      <c r="C152" s="10" t="s">
        <v>182</v>
      </c>
      <c r="D152" s="12" t="n">
        <v>7.49</v>
      </c>
      <c r="E152" s="12" t="n">
        <v>43.82</v>
      </c>
      <c r="F152" s="12" t="n">
        <f aca="false">E152-D152</f>
        <v>36.33</v>
      </c>
      <c r="G152" s="13" t="n">
        <f aca="false">IFERROR(F152/E152,"")</f>
        <v>0.829073482428115</v>
      </c>
      <c r="H152" s="12" t="n">
        <v>22.51</v>
      </c>
      <c r="I152" s="12" t="n">
        <f aca="false">H152-D152</f>
        <v>15.02</v>
      </c>
      <c r="J152" s="13" t="n">
        <f aca="false">IFERROR(I152/H152,"")</f>
        <v>0.667258996001777</v>
      </c>
      <c r="K152" s="12" t="n">
        <v>15.77</v>
      </c>
      <c r="L152" s="12" t="n">
        <f aca="false">K152-D152</f>
        <v>8.28</v>
      </c>
      <c r="M152" s="13" t="n">
        <f aca="false">IFERROR(L152/K152,"")</f>
        <v>0.525047558655675</v>
      </c>
      <c r="N152" s="12" t="n">
        <v>12.41</v>
      </c>
      <c r="O152" s="12" t="n">
        <f aca="false">N152-D152</f>
        <v>4.92</v>
      </c>
      <c r="P152" s="13" t="n">
        <f aca="false">IFERROR(O152/N152,"")</f>
        <v>0.396454472199839</v>
      </c>
      <c r="Q152" s="12" t="n">
        <v>12.41</v>
      </c>
      <c r="R152" s="12" t="n">
        <f aca="false">Q152-D152</f>
        <v>4.92</v>
      </c>
      <c r="S152" s="13" t="n">
        <f aca="false">IFERROR(R152/Q152,"")</f>
        <v>0.396454472199839</v>
      </c>
    </row>
    <row r="153" customFormat="false" ht="15" hidden="false" customHeight="false" outlineLevel="0" collapsed="false">
      <c r="A153" s="6" t="s">
        <v>181</v>
      </c>
      <c r="B153" s="7" t="s">
        <v>25</v>
      </c>
      <c r="C153" s="6" t="s">
        <v>182</v>
      </c>
      <c r="D153" s="8" t="n">
        <v>8.24</v>
      </c>
      <c r="E153" s="8" t="n">
        <v>45.05</v>
      </c>
      <c r="F153" s="8" t="n">
        <f aca="false">E153-D153</f>
        <v>36.81</v>
      </c>
      <c r="G153" s="9" t="n">
        <f aca="false">IFERROR(F153/E153,"")</f>
        <v>0.817092119866815</v>
      </c>
      <c r="H153" s="8" t="n">
        <v>27.2</v>
      </c>
      <c r="I153" s="8" t="n">
        <f aca="false">H153-D153</f>
        <v>18.96</v>
      </c>
      <c r="J153" s="9" t="n">
        <f aca="false">IFERROR(I153/H153,"")</f>
        <v>0.697058823529412</v>
      </c>
      <c r="K153" s="8" t="n">
        <v>19.86</v>
      </c>
      <c r="L153" s="8" t="n">
        <f aca="false">K153-D153</f>
        <v>11.62</v>
      </c>
      <c r="M153" s="9" t="n">
        <f aca="false">IFERROR(L153/K153,"")</f>
        <v>0.585095669687815</v>
      </c>
      <c r="N153" s="8" t="n">
        <v>13.53</v>
      </c>
      <c r="O153" s="8" t="n">
        <f aca="false">N153-D153</f>
        <v>5.29</v>
      </c>
      <c r="P153" s="9" t="n">
        <f aca="false">IFERROR(O153/N153,"")</f>
        <v>0.390983000739098</v>
      </c>
      <c r="Q153" s="8" t="n">
        <v>13.59</v>
      </c>
      <c r="R153" s="8" t="n">
        <f aca="false">Q153-D153</f>
        <v>5.35</v>
      </c>
      <c r="S153" s="9" t="n">
        <f aca="false">IFERROR(R153/Q153,"")</f>
        <v>0.393671817512877</v>
      </c>
    </row>
    <row r="154" customFormat="false" ht="15" hidden="false" customHeight="false" outlineLevel="0" collapsed="false">
      <c r="A154" s="10" t="s">
        <v>183</v>
      </c>
      <c r="B154" s="11" t="s">
        <v>27</v>
      </c>
      <c r="C154" s="10" t="s">
        <v>184</v>
      </c>
      <c r="D154" s="12" t="n">
        <v>5.19</v>
      </c>
      <c r="E154" s="12" t="n">
        <v>33</v>
      </c>
      <c r="F154" s="12" t="n">
        <f aca="false">E154-D154</f>
        <v>27.81</v>
      </c>
      <c r="G154" s="13" t="n">
        <f aca="false">IFERROR(F154/E154,"")</f>
        <v>0.842727272727273</v>
      </c>
      <c r="H154" s="12" t="n">
        <v>17.63</v>
      </c>
      <c r="I154" s="12" t="n">
        <f aca="false">H154-D154</f>
        <v>12.44</v>
      </c>
      <c r="J154" s="13" t="n">
        <f aca="false">IFERROR(I154/H154,"")</f>
        <v>0.705615428247306</v>
      </c>
      <c r="K154" s="12" t="n">
        <v>10.58</v>
      </c>
      <c r="L154" s="12" t="n">
        <f aca="false">K154-D154</f>
        <v>5.39</v>
      </c>
      <c r="M154" s="13" t="n">
        <f aca="false">IFERROR(L154/K154,"")</f>
        <v>0.50945179584121</v>
      </c>
      <c r="N154" s="12" t="n">
        <v>6.74</v>
      </c>
      <c r="O154" s="12" t="n">
        <f aca="false">N154-D154</f>
        <v>1.55</v>
      </c>
      <c r="P154" s="13" t="n">
        <f aca="false">IFERROR(O154/N154,"")</f>
        <v>0.229970326409496</v>
      </c>
      <c r="Q154" s="12" t="n">
        <v>6.89</v>
      </c>
      <c r="R154" s="12" t="n">
        <f aca="false">Q154-D154</f>
        <v>1.7</v>
      </c>
      <c r="S154" s="13" t="n">
        <f aca="false">IFERROR(R154/Q154,"")</f>
        <v>0.246734397677794</v>
      </c>
    </row>
    <row r="155" customFormat="false" ht="15" hidden="false" customHeight="false" outlineLevel="0" collapsed="false">
      <c r="A155" s="6" t="s">
        <v>185</v>
      </c>
      <c r="B155" s="7" t="s">
        <v>27</v>
      </c>
      <c r="C155" s="6" t="s">
        <v>186</v>
      </c>
      <c r="D155" s="8" t="n">
        <v>5.6</v>
      </c>
      <c r="E155" s="8" t="n">
        <v>34.3</v>
      </c>
      <c r="F155" s="8" t="n">
        <f aca="false">E155-D155</f>
        <v>28.7</v>
      </c>
      <c r="G155" s="9" t="n">
        <f aca="false">IFERROR(F155/E155,"")</f>
        <v>0.836734693877551</v>
      </c>
      <c r="H155" s="8" t="n">
        <v>23.18</v>
      </c>
      <c r="I155" s="8" t="n">
        <f aca="false">H155-D155</f>
        <v>17.58</v>
      </c>
      <c r="J155" s="9" t="n">
        <f aca="false">IFERROR(I155/H155,"")</f>
        <v>0.758412424503883</v>
      </c>
      <c r="K155" s="8" t="n">
        <v>14.46</v>
      </c>
      <c r="L155" s="8" t="n">
        <f aca="false">K155-D155</f>
        <v>8.86</v>
      </c>
      <c r="M155" s="9" t="n">
        <f aca="false">IFERROR(L155/K155,"")</f>
        <v>0.612724757952974</v>
      </c>
      <c r="N155" s="8" t="n">
        <v>13.01</v>
      </c>
      <c r="O155" s="8" t="n">
        <f aca="false">N155-D155</f>
        <v>7.41</v>
      </c>
      <c r="P155" s="9" t="n">
        <f aca="false">IFERROR(O155/N155,"")</f>
        <v>0.5695618754804</v>
      </c>
      <c r="Q155" s="8" t="n">
        <v>12.53</v>
      </c>
      <c r="R155" s="8" t="n">
        <f aca="false">Q155-D155</f>
        <v>6.93</v>
      </c>
      <c r="S155" s="9" t="n">
        <f aca="false">IFERROR(R155/Q155,"")</f>
        <v>0.553072625698324</v>
      </c>
    </row>
    <row r="156" customFormat="false" ht="15" hidden="false" customHeight="false" outlineLevel="0" collapsed="false">
      <c r="A156" s="10" t="s">
        <v>185</v>
      </c>
      <c r="B156" s="11" t="s">
        <v>23</v>
      </c>
      <c r="C156" s="10" t="s">
        <v>186</v>
      </c>
      <c r="D156" s="12" t="n">
        <v>6.75</v>
      </c>
      <c r="E156" s="12" t="n">
        <v>37.17</v>
      </c>
      <c r="F156" s="12" t="n">
        <f aca="false">E156-D156</f>
        <v>30.42</v>
      </c>
      <c r="G156" s="13" t="n">
        <f aca="false">IFERROR(F156/E156,"")</f>
        <v>0.818401937046005</v>
      </c>
      <c r="H156" s="12" t="n">
        <v>24.98</v>
      </c>
      <c r="I156" s="12" t="n">
        <f aca="false">H156-D156</f>
        <v>18.23</v>
      </c>
      <c r="J156" s="13" t="n">
        <f aca="false">IFERROR(I156/H156,"")</f>
        <v>0.729783827061649</v>
      </c>
      <c r="K156" s="12" t="n">
        <v>17.26</v>
      </c>
      <c r="L156" s="12" t="n">
        <f aca="false">K156-D156</f>
        <v>10.51</v>
      </c>
      <c r="M156" s="13" t="n">
        <f aca="false">IFERROR(L156/K156,"")</f>
        <v>0.608922363847045</v>
      </c>
      <c r="N156" s="12" t="n">
        <v>14.38</v>
      </c>
      <c r="O156" s="12" t="n">
        <f aca="false">N156-D156</f>
        <v>7.63</v>
      </c>
      <c r="P156" s="13" t="n">
        <f aca="false">IFERROR(O156/N156,"")</f>
        <v>0.530598052851182</v>
      </c>
      <c r="Q156" s="12" t="n">
        <v>13.84</v>
      </c>
      <c r="R156" s="12" t="n">
        <f aca="false">Q156-D156</f>
        <v>7.09</v>
      </c>
      <c r="S156" s="13" t="n">
        <f aca="false">IFERROR(R156/Q156,"")</f>
        <v>0.51228323699422</v>
      </c>
    </row>
    <row r="157" customFormat="false" ht="15" hidden="false" customHeight="false" outlineLevel="0" collapsed="false">
      <c r="A157" s="6" t="s">
        <v>185</v>
      </c>
      <c r="B157" s="7" t="s">
        <v>25</v>
      </c>
      <c r="C157" s="6" t="s">
        <v>186</v>
      </c>
      <c r="D157" s="8" t="n">
        <v>7.43</v>
      </c>
      <c r="E157" s="8" t="n">
        <v>35.11</v>
      </c>
      <c r="F157" s="8" t="n">
        <f aca="false">E157-D157</f>
        <v>27.68</v>
      </c>
      <c r="G157" s="9" t="n">
        <f aca="false">IFERROR(F157/E157,"")</f>
        <v>0.788379379094275</v>
      </c>
      <c r="H157" s="8" t="n">
        <v>24.14</v>
      </c>
      <c r="I157" s="8" t="n">
        <f aca="false">H157-D157</f>
        <v>16.71</v>
      </c>
      <c r="J157" s="9" t="n">
        <f aca="false">IFERROR(I157/H157,"")</f>
        <v>0.692212096106048</v>
      </c>
      <c r="K157" s="8" t="n">
        <v>18.18</v>
      </c>
      <c r="L157" s="8" t="n">
        <f aca="false">K157-D157</f>
        <v>10.75</v>
      </c>
      <c r="M157" s="9" t="n">
        <f aca="false">IFERROR(L157/K157,"")</f>
        <v>0.591309130913091</v>
      </c>
      <c r="N157" s="8" t="n">
        <v>15.14</v>
      </c>
      <c r="O157" s="8" t="n">
        <f aca="false">N157-D157</f>
        <v>7.71</v>
      </c>
      <c r="P157" s="9" t="n">
        <f aca="false">IFERROR(O157/N157,"")</f>
        <v>0.509247027741083</v>
      </c>
      <c r="Q157" s="8" t="n">
        <v>14.57</v>
      </c>
      <c r="R157" s="8" t="n">
        <f aca="false">Q157-D157</f>
        <v>7.14</v>
      </c>
      <c r="S157" s="9" t="n">
        <f aca="false">IFERROR(R157/Q157,"")</f>
        <v>0.490048043925875</v>
      </c>
    </row>
    <row r="158" customFormat="false" ht="15" hidden="false" customHeight="false" outlineLevel="0" collapsed="false">
      <c r="A158" s="10" t="s">
        <v>187</v>
      </c>
      <c r="B158" s="11" t="s">
        <v>27</v>
      </c>
      <c r="C158" s="10" t="s">
        <v>188</v>
      </c>
      <c r="D158" s="12" t="n">
        <v>5.8</v>
      </c>
      <c r="E158" s="12" t="n">
        <v>49</v>
      </c>
      <c r="F158" s="12" t="n">
        <f aca="false">E158-D158</f>
        <v>43.2</v>
      </c>
      <c r="G158" s="13" t="n">
        <f aca="false">IFERROR(F158/E158,"")</f>
        <v>0.881632653061225</v>
      </c>
      <c r="H158" s="12" t="n">
        <v>22.1</v>
      </c>
      <c r="I158" s="12" t="n">
        <f aca="false">H158-D158</f>
        <v>16.3</v>
      </c>
      <c r="J158" s="13" t="n">
        <f aca="false">IFERROR(I158/H158,"")</f>
        <v>0.737556561085973</v>
      </c>
      <c r="K158" s="12" t="n">
        <v>12.52</v>
      </c>
      <c r="L158" s="12" t="n">
        <f aca="false">K158-D158</f>
        <v>6.72</v>
      </c>
      <c r="M158" s="13" t="n">
        <f aca="false">IFERROR(L158/K158,"")</f>
        <v>0.536741214057508</v>
      </c>
      <c r="N158" s="12" t="n">
        <v>10.76</v>
      </c>
      <c r="O158" s="12" t="n">
        <f aca="false">N158-D158</f>
        <v>4.96</v>
      </c>
      <c r="P158" s="13" t="n">
        <f aca="false">IFERROR(O158/N158,"")</f>
        <v>0.460966542750929</v>
      </c>
      <c r="Q158" s="12" t="n">
        <v>11.1</v>
      </c>
      <c r="R158" s="12" t="n">
        <f aca="false">Q158-D158</f>
        <v>5.3</v>
      </c>
      <c r="S158" s="13" t="n">
        <f aca="false">IFERROR(R158/Q158,"")</f>
        <v>0.477477477477478</v>
      </c>
    </row>
    <row r="159" customFormat="false" ht="15" hidden="false" customHeight="false" outlineLevel="0" collapsed="false">
      <c r="A159" s="6" t="s">
        <v>187</v>
      </c>
      <c r="B159" s="7" t="s">
        <v>23</v>
      </c>
      <c r="C159" s="6" t="s">
        <v>188</v>
      </c>
      <c r="D159" s="8" t="n">
        <v>7.11</v>
      </c>
      <c r="E159" s="8" t="n">
        <v>53.1</v>
      </c>
      <c r="F159" s="8" t="n">
        <f aca="false">E159-D159</f>
        <v>45.99</v>
      </c>
      <c r="G159" s="9" t="n">
        <f aca="false">IFERROR(F159/E159,"")</f>
        <v>0.866101694915254</v>
      </c>
      <c r="H159" s="8" t="n">
        <v>23.82</v>
      </c>
      <c r="I159" s="8" t="n">
        <f aca="false">H159-D159</f>
        <v>16.71</v>
      </c>
      <c r="J159" s="9" t="n">
        <f aca="false">IFERROR(I159/H159,"")</f>
        <v>0.701511335012594</v>
      </c>
      <c r="K159" s="8" t="n">
        <v>14.94</v>
      </c>
      <c r="L159" s="8" t="n">
        <f aca="false">K159-D159</f>
        <v>7.83</v>
      </c>
      <c r="M159" s="9" t="n">
        <f aca="false">IFERROR(L159/K159,"")</f>
        <v>0.524096385542169</v>
      </c>
      <c r="N159" s="8" t="n">
        <v>11.89</v>
      </c>
      <c r="O159" s="8" t="n">
        <f aca="false">N159-D159</f>
        <v>4.78</v>
      </c>
      <c r="P159" s="9" t="n">
        <f aca="false">IFERROR(O159/N159,"")</f>
        <v>0.40201850294365</v>
      </c>
      <c r="Q159" s="8" t="n">
        <v>12.26</v>
      </c>
      <c r="R159" s="8" t="n">
        <f aca="false">Q159-D159</f>
        <v>5.15</v>
      </c>
      <c r="S159" s="9" t="n">
        <f aca="false">IFERROR(R159/Q159,"")</f>
        <v>0.420065252854812</v>
      </c>
    </row>
    <row r="160" customFormat="false" ht="15" hidden="false" customHeight="false" outlineLevel="0" collapsed="false">
      <c r="A160" s="10" t="s">
        <v>187</v>
      </c>
      <c r="B160" s="11" t="s">
        <v>25</v>
      </c>
      <c r="C160" s="10" t="s">
        <v>188</v>
      </c>
      <c r="D160" s="12" t="n">
        <v>7.82</v>
      </c>
      <c r="E160" s="12" t="n">
        <v>50.16</v>
      </c>
      <c r="F160" s="12" t="n">
        <f aca="false">E160-D160</f>
        <v>42.34</v>
      </c>
      <c r="G160" s="13" t="n">
        <f aca="false">IFERROR(F160/E160,"")</f>
        <v>0.844098883572568</v>
      </c>
      <c r="H160" s="12" t="n">
        <v>23.01</v>
      </c>
      <c r="I160" s="12" t="n">
        <f aca="false">H160-D160</f>
        <v>15.19</v>
      </c>
      <c r="J160" s="13" t="n">
        <f aca="false">IFERROR(I160/H160,"")</f>
        <v>0.660147761842677</v>
      </c>
      <c r="K160" s="12" t="n">
        <v>15.73</v>
      </c>
      <c r="L160" s="12" t="n">
        <f aca="false">K160-D160</f>
        <v>7.91</v>
      </c>
      <c r="M160" s="13" t="n">
        <f aca="false">IFERROR(L160/K160,"")</f>
        <v>0.502860775588048</v>
      </c>
      <c r="N160" s="12" t="n">
        <v>12.52</v>
      </c>
      <c r="O160" s="12" t="n">
        <f aca="false">N160-D160</f>
        <v>4.7</v>
      </c>
      <c r="P160" s="13" t="n">
        <f aca="false">IFERROR(O160/N160,"")</f>
        <v>0.375399361022364</v>
      </c>
      <c r="Q160" s="12" t="n">
        <v>12.91</v>
      </c>
      <c r="R160" s="12" t="n">
        <f aca="false">Q160-D160</f>
        <v>5.09</v>
      </c>
      <c r="S160" s="13" t="n">
        <f aca="false">IFERROR(R160/Q160,"")</f>
        <v>0.39426800929512</v>
      </c>
    </row>
    <row r="161" customFormat="false" ht="15" hidden="false" customHeight="false" outlineLevel="0" collapsed="false">
      <c r="A161" s="6" t="s">
        <v>189</v>
      </c>
      <c r="B161" s="7" t="s">
        <v>23</v>
      </c>
      <c r="C161" s="6" t="s">
        <v>190</v>
      </c>
      <c r="D161" s="8" t="n">
        <v>7.96</v>
      </c>
      <c r="E161" s="8" t="n">
        <v>53</v>
      </c>
      <c r="F161" s="8" t="n">
        <f aca="false">E161-D161</f>
        <v>45.04</v>
      </c>
      <c r="G161" s="9" t="n">
        <f aca="false">IFERROR(F161/E161,"")</f>
        <v>0.849811320754717</v>
      </c>
      <c r="H161" s="8" t="n">
        <v>33.5</v>
      </c>
      <c r="I161" s="8" t="n">
        <f aca="false">H161-D161</f>
        <v>25.54</v>
      </c>
      <c r="J161" s="9" t="n">
        <f aca="false">IFERROR(I161/H161,"")</f>
        <v>0.762388059701493</v>
      </c>
      <c r="K161" s="8" t="n">
        <v>23.01</v>
      </c>
      <c r="L161" s="8" t="n">
        <f aca="false">K161-D161</f>
        <v>15.05</v>
      </c>
      <c r="M161" s="9" t="n">
        <f aca="false">IFERROR(L161/K161,"")</f>
        <v>0.65406345067362</v>
      </c>
      <c r="N161" s="8" t="n">
        <v>14.88</v>
      </c>
      <c r="O161" s="8" t="n">
        <f aca="false">N161-D161</f>
        <v>6.92</v>
      </c>
      <c r="P161" s="9" t="n">
        <f aca="false">IFERROR(O161/N161,"")</f>
        <v>0.46505376344086</v>
      </c>
      <c r="Q161" s="8" t="n">
        <v>15.2</v>
      </c>
      <c r="R161" s="8" t="n">
        <f aca="false">Q161-D161</f>
        <v>7.24</v>
      </c>
      <c r="S161" s="9" t="n">
        <f aca="false">IFERROR(R161/Q161,"")</f>
        <v>0.476315789473684</v>
      </c>
    </row>
    <row r="162" customFormat="false" ht="15" hidden="false" customHeight="false" outlineLevel="0" collapsed="false">
      <c r="A162" s="10" t="s">
        <v>189</v>
      </c>
      <c r="B162" s="11" t="s">
        <v>25</v>
      </c>
      <c r="C162" s="10" t="s">
        <v>190</v>
      </c>
      <c r="D162" s="12" t="n">
        <v>8.75</v>
      </c>
      <c r="E162" s="12" t="n">
        <v>50.16</v>
      </c>
      <c r="F162" s="12" t="n">
        <f aca="false">E162-D162</f>
        <v>41.41</v>
      </c>
      <c r="G162" s="13" t="n">
        <f aca="false">IFERROR(F162/E162,"")</f>
        <v>0.825558213716109</v>
      </c>
      <c r="H162" s="12" t="n">
        <v>25.75</v>
      </c>
      <c r="I162" s="12" t="n">
        <f aca="false">H162-D162</f>
        <v>17</v>
      </c>
      <c r="J162" s="13" t="n">
        <f aca="false">IFERROR(I162/H162,"")</f>
        <v>0.660194174757282</v>
      </c>
      <c r="K162" s="12" t="n">
        <v>22.9</v>
      </c>
      <c r="L162" s="12" t="n">
        <f aca="false">K162-D162</f>
        <v>14.15</v>
      </c>
      <c r="M162" s="13" t="n">
        <f aca="false">IFERROR(L162/K162,"")</f>
        <v>0.617903930131004</v>
      </c>
      <c r="N162" s="12" t="n">
        <v>15.52</v>
      </c>
      <c r="O162" s="12" t="n">
        <f aca="false">N162-D162</f>
        <v>6.77</v>
      </c>
      <c r="P162" s="13" t="n">
        <f aca="false">IFERROR(O162/N162,"")</f>
        <v>0.436211340206186</v>
      </c>
      <c r="Q162" s="12" t="n">
        <v>13.71</v>
      </c>
      <c r="R162" s="12" t="n">
        <f aca="false">Q162-D162</f>
        <v>4.96</v>
      </c>
      <c r="S162" s="13" t="n">
        <f aca="false">IFERROR(R162/Q162,"")</f>
        <v>0.361779722830051</v>
      </c>
    </row>
    <row r="163" customFormat="false" ht="15" hidden="false" customHeight="false" outlineLevel="0" collapsed="false">
      <c r="A163" s="6" t="s">
        <v>191</v>
      </c>
      <c r="B163" s="7" t="s">
        <v>27</v>
      </c>
      <c r="C163" s="6" t="s">
        <v>192</v>
      </c>
      <c r="D163" s="8" t="n">
        <v>6.08</v>
      </c>
      <c r="E163" s="8" t="n">
        <v>36.34</v>
      </c>
      <c r="F163" s="8" t="n">
        <f aca="false">E163-D163</f>
        <v>30.26</v>
      </c>
      <c r="G163" s="9" t="n">
        <f aca="false">IFERROR(F163/E163,"")</f>
        <v>0.832691249312053</v>
      </c>
      <c r="H163" s="8" t="n">
        <v>23.43</v>
      </c>
      <c r="I163" s="8" t="n">
        <f aca="false">H163-D163</f>
        <v>17.35</v>
      </c>
      <c r="J163" s="9" t="n">
        <f aca="false">IFERROR(I163/H163,"")</f>
        <v>0.740503627827572</v>
      </c>
      <c r="K163" s="8" t="n">
        <v>14.49</v>
      </c>
      <c r="L163" s="8" t="n">
        <f aca="false">K163-D163</f>
        <v>8.41</v>
      </c>
      <c r="M163" s="9" t="n">
        <f aca="false">IFERROR(L163/K163,"")</f>
        <v>0.58040027605245</v>
      </c>
      <c r="N163" s="8" t="n">
        <v>14.24</v>
      </c>
      <c r="O163" s="8" t="n">
        <f aca="false">N163-D163</f>
        <v>8.16</v>
      </c>
      <c r="P163" s="9" t="n">
        <f aca="false">IFERROR(O163/N163,"")</f>
        <v>0.573033707865169</v>
      </c>
      <c r="Q163" s="8" t="n">
        <v>13.71</v>
      </c>
      <c r="R163" s="8" t="n">
        <f aca="false">Q163-D163</f>
        <v>7.63</v>
      </c>
      <c r="S163" s="9" t="n">
        <f aca="false">IFERROR(R163/Q163,"")</f>
        <v>0.556528081692196</v>
      </c>
    </row>
    <row r="164" customFormat="false" ht="15" hidden="false" customHeight="false" outlineLevel="0" collapsed="false">
      <c r="A164" s="10" t="s">
        <v>193</v>
      </c>
      <c r="B164" s="11" t="s">
        <v>27</v>
      </c>
      <c r="C164" s="10" t="s">
        <v>194</v>
      </c>
      <c r="D164" s="12" t="n">
        <v>6.06</v>
      </c>
      <c r="E164" s="12" t="n">
        <v>36.34</v>
      </c>
      <c r="F164" s="12" t="n">
        <f aca="false">E164-D164</f>
        <v>30.28</v>
      </c>
      <c r="G164" s="13" t="n">
        <f aca="false">IFERROR(F164/E164,"")</f>
        <v>0.833241607044579</v>
      </c>
      <c r="H164" s="12" t="n">
        <v>23.43</v>
      </c>
      <c r="I164" s="12" t="n">
        <f aca="false">H164-D164</f>
        <v>17.37</v>
      </c>
      <c r="J164" s="13" t="n">
        <f aca="false">IFERROR(I164/H164,"")</f>
        <v>0.741357234314981</v>
      </c>
      <c r="K164" s="12" t="n">
        <v>14.49</v>
      </c>
      <c r="L164" s="12" t="n">
        <f aca="false">K164-D164</f>
        <v>8.43</v>
      </c>
      <c r="M164" s="13" t="n">
        <f aca="false">IFERROR(L164/K164,"")</f>
        <v>0.581780538302277</v>
      </c>
      <c r="N164" s="12" t="n">
        <v>14.24</v>
      </c>
      <c r="O164" s="12" t="n">
        <f aca="false">N164-D164</f>
        <v>8.18</v>
      </c>
      <c r="P164" s="13" t="n">
        <f aca="false">IFERROR(O164/N164,"")</f>
        <v>0.574438202247191</v>
      </c>
      <c r="Q164" s="12" t="n">
        <v>13.71</v>
      </c>
      <c r="R164" s="12" t="n">
        <f aca="false">Q164-D164</f>
        <v>7.65</v>
      </c>
      <c r="S164" s="13" t="n">
        <f aca="false">IFERROR(R164/Q164,"")</f>
        <v>0.557986870897155</v>
      </c>
    </row>
    <row r="165" customFormat="false" ht="15" hidden="false" customHeight="false" outlineLevel="0" collapsed="false">
      <c r="A165" s="6" t="s">
        <v>195</v>
      </c>
      <c r="B165" s="7" t="s">
        <v>27</v>
      </c>
      <c r="C165" s="6" t="s">
        <v>196</v>
      </c>
      <c r="D165" s="8" t="n">
        <v>5.84</v>
      </c>
      <c r="E165" s="8" t="n">
        <v>36.34</v>
      </c>
      <c r="F165" s="8" t="n">
        <f aca="false">E165-D165</f>
        <v>30.5</v>
      </c>
      <c r="G165" s="9" t="n">
        <f aca="false">IFERROR(F165/E165,"")</f>
        <v>0.839295542102367</v>
      </c>
      <c r="H165" s="8" t="n">
        <v>23.43</v>
      </c>
      <c r="I165" s="8" t="n">
        <f aca="false">H165-D165</f>
        <v>17.59</v>
      </c>
      <c r="J165" s="9" t="n">
        <f aca="false">IFERROR(I165/H165,"")</f>
        <v>0.750746905676483</v>
      </c>
      <c r="K165" s="8" t="n">
        <v>14.64</v>
      </c>
      <c r="L165" s="8" t="n">
        <f aca="false">K165-D165</f>
        <v>8.8</v>
      </c>
      <c r="M165" s="9" t="n">
        <f aca="false">IFERROR(L165/K165,"")</f>
        <v>0.601092896174863</v>
      </c>
      <c r="N165" s="8" t="n">
        <v>14.24</v>
      </c>
      <c r="O165" s="8" t="n">
        <f aca="false">N165-D165</f>
        <v>8.4</v>
      </c>
      <c r="P165" s="9" t="n">
        <f aca="false">IFERROR(O165/N165,"")</f>
        <v>0.589887640449438</v>
      </c>
      <c r="Q165" s="8" t="n">
        <v>13.71</v>
      </c>
      <c r="R165" s="8" t="n">
        <f aca="false">Q165-D165</f>
        <v>7.87</v>
      </c>
      <c r="S165" s="9" t="n">
        <f aca="false">IFERROR(R165/Q165,"")</f>
        <v>0.574033552151714</v>
      </c>
    </row>
    <row r="166" customFormat="false" ht="15" hidden="false" customHeight="false" outlineLevel="0" collapsed="false">
      <c r="A166" s="10" t="s">
        <v>197</v>
      </c>
      <c r="B166" s="11" t="s">
        <v>27</v>
      </c>
      <c r="C166" s="10" t="s">
        <v>198</v>
      </c>
      <c r="D166" s="12" t="n">
        <v>6.31</v>
      </c>
      <c r="E166" s="12" t="n">
        <v>37.16</v>
      </c>
      <c r="F166" s="12" t="n">
        <f aca="false">E166-D166</f>
        <v>30.85</v>
      </c>
      <c r="G166" s="13" t="n">
        <f aca="false">IFERROR(F166/E166,"")</f>
        <v>0.830193756727664</v>
      </c>
      <c r="H166" s="12" t="n">
        <v>23.97</v>
      </c>
      <c r="I166" s="12" t="n">
        <f aca="false">H166-D166</f>
        <v>17.66</v>
      </c>
      <c r="J166" s="13" t="n">
        <f aca="false">IFERROR(I166/H166,"")</f>
        <v>0.736754276178557</v>
      </c>
      <c r="K166" s="12" t="n">
        <v>16.17</v>
      </c>
      <c r="L166" s="12" t="n">
        <f aca="false">K166-D166</f>
        <v>9.86</v>
      </c>
      <c r="M166" s="13" t="n">
        <f aca="false">IFERROR(L166/K166,"")</f>
        <v>0.609771181199753</v>
      </c>
      <c r="N166" s="12" t="n">
        <v>14.56</v>
      </c>
      <c r="O166" s="12" t="n">
        <f aca="false">N166-D166</f>
        <v>8.25</v>
      </c>
      <c r="P166" s="13" t="n">
        <f aca="false">IFERROR(O166/N166,"")</f>
        <v>0.566620879120879</v>
      </c>
      <c r="Q166" s="12" t="n">
        <v>14.02</v>
      </c>
      <c r="R166" s="12" t="n">
        <f aca="false">Q166-D166</f>
        <v>7.71</v>
      </c>
      <c r="S166" s="13" t="n">
        <f aca="false">IFERROR(R166/Q166,"")</f>
        <v>0.549928673323823</v>
      </c>
    </row>
    <row r="167" customFormat="false" ht="15" hidden="false" customHeight="false" outlineLevel="0" collapsed="false">
      <c r="A167" s="6" t="s">
        <v>199</v>
      </c>
      <c r="B167" s="7" t="s">
        <v>27</v>
      </c>
      <c r="C167" s="6" t="s">
        <v>200</v>
      </c>
      <c r="D167" s="8" t="n">
        <v>5.84</v>
      </c>
      <c r="E167" s="8" t="n">
        <v>37.16</v>
      </c>
      <c r="F167" s="8" t="n">
        <f aca="false">E167-D167</f>
        <v>31.32</v>
      </c>
      <c r="G167" s="9" t="n">
        <f aca="false">IFERROR(F167/E167,"")</f>
        <v>0.842841765339074</v>
      </c>
      <c r="H167" s="8" t="n">
        <v>23.97</v>
      </c>
      <c r="I167" s="8" t="n">
        <f aca="false">H167-D167</f>
        <v>18.13</v>
      </c>
      <c r="J167" s="9" t="n">
        <f aca="false">IFERROR(I167/H167,"")</f>
        <v>0.756362119315811</v>
      </c>
      <c r="K167" s="8" t="n">
        <v>16.17</v>
      </c>
      <c r="L167" s="8" t="n">
        <f aca="false">K167-D167</f>
        <v>10.33</v>
      </c>
      <c r="M167" s="9" t="n">
        <f aca="false">IFERROR(L167/K167,"")</f>
        <v>0.638837353123067</v>
      </c>
      <c r="N167" s="8" t="n">
        <v>14.56</v>
      </c>
      <c r="O167" s="8" t="n">
        <f aca="false">N167-D167</f>
        <v>8.72</v>
      </c>
      <c r="P167" s="9" t="n">
        <f aca="false">IFERROR(O167/N167,"")</f>
        <v>0.598901098901099</v>
      </c>
      <c r="Q167" s="8" t="n">
        <v>14.02</v>
      </c>
      <c r="R167" s="8" t="n">
        <f aca="false">Q167-D167</f>
        <v>8.18</v>
      </c>
      <c r="S167" s="9" t="n">
        <f aca="false">IFERROR(R167/Q167,"")</f>
        <v>0.583452211126961</v>
      </c>
    </row>
    <row r="168" customFormat="false" ht="15" hidden="false" customHeight="false" outlineLevel="0" collapsed="false">
      <c r="A168" s="10" t="s">
        <v>201</v>
      </c>
      <c r="B168" s="11" t="s">
        <v>27</v>
      </c>
      <c r="C168" s="10" t="s">
        <v>202</v>
      </c>
      <c r="D168" s="12" t="n">
        <v>6.37</v>
      </c>
      <c r="E168" s="12" t="n">
        <v>39.94</v>
      </c>
      <c r="F168" s="12" t="n">
        <f aca="false">E168-D168</f>
        <v>33.57</v>
      </c>
      <c r="G168" s="13" t="n">
        <f aca="false">IFERROR(F168/E168,"")</f>
        <v>0.840510766149224</v>
      </c>
      <c r="H168" s="12" t="n">
        <v>25.91</v>
      </c>
      <c r="I168" s="12" t="n">
        <f aca="false">H168-D168</f>
        <v>19.54</v>
      </c>
      <c r="J168" s="13" t="n">
        <f aca="false">IFERROR(I168/H168,"")</f>
        <v>0.754148977228869</v>
      </c>
      <c r="K168" s="12" t="n">
        <v>17.66</v>
      </c>
      <c r="L168" s="12" t="n">
        <f aca="false">K168-D168</f>
        <v>11.29</v>
      </c>
      <c r="M168" s="13" t="n">
        <f aca="false">IFERROR(L168/K168,"")</f>
        <v>0.639297848244621</v>
      </c>
      <c r="N168" s="12" t="n">
        <v>16.06</v>
      </c>
      <c r="O168" s="12" t="n">
        <f aca="false">N168-D168</f>
        <v>9.69</v>
      </c>
      <c r="P168" s="13" t="n">
        <f aca="false">IFERROR(O168/N168,"")</f>
        <v>0.603362391033624</v>
      </c>
      <c r="Q168" s="12" t="n">
        <v>15.46</v>
      </c>
      <c r="R168" s="12" t="n">
        <f aca="false">Q168-D168</f>
        <v>9.09</v>
      </c>
      <c r="S168" s="13" t="n">
        <f aca="false">IFERROR(R168/Q168,"")</f>
        <v>0.587968952134541</v>
      </c>
    </row>
    <row r="169" customFormat="false" ht="15" hidden="false" customHeight="false" outlineLevel="0" collapsed="false">
      <c r="A169" s="6" t="s">
        <v>203</v>
      </c>
      <c r="B169" s="7" t="s">
        <v>27</v>
      </c>
      <c r="C169" s="6" t="s">
        <v>204</v>
      </c>
      <c r="D169" s="8" t="n">
        <v>6.06</v>
      </c>
      <c r="E169" s="8" t="n">
        <v>37.16</v>
      </c>
      <c r="F169" s="8" t="n">
        <f aca="false">E169-D169</f>
        <v>31.1</v>
      </c>
      <c r="G169" s="9" t="n">
        <f aca="false">IFERROR(F169/E169,"")</f>
        <v>0.83692142088267</v>
      </c>
      <c r="H169" s="8" t="n">
        <v>23.97</v>
      </c>
      <c r="I169" s="8" t="n">
        <f aca="false">H169-D169</f>
        <v>17.91</v>
      </c>
      <c r="J169" s="9" t="n">
        <f aca="false">IFERROR(I169/H169,"")</f>
        <v>0.747183979974969</v>
      </c>
      <c r="K169" s="8" t="n">
        <v>13.48</v>
      </c>
      <c r="L169" s="8" t="n">
        <f aca="false">K169-D169</f>
        <v>7.42</v>
      </c>
      <c r="M169" s="9" t="n">
        <f aca="false">IFERROR(L169/K169,"")</f>
        <v>0.550445103857567</v>
      </c>
      <c r="N169" s="8" t="n">
        <v>14.56</v>
      </c>
      <c r="O169" s="8" t="n">
        <f aca="false">N169-D169</f>
        <v>8.5</v>
      </c>
      <c r="P169" s="9" t="n">
        <f aca="false">IFERROR(O169/N169,"")</f>
        <v>0.583791208791209</v>
      </c>
      <c r="Q169" s="8" t="n">
        <v>14.02</v>
      </c>
      <c r="R169" s="8" t="n">
        <f aca="false">Q169-D169</f>
        <v>7.96</v>
      </c>
      <c r="S169" s="9" t="n">
        <f aca="false">IFERROR(R169/Q169,"")</f>
        <v>0.567760342368046</v>
      </c>
    </row>
    <row r="170" customFormat="false" ht="15" hidden="false" customHeight="false" outlineLevel="0" collapsed="false">
      <c r="A170" s="10" t="s">
        <v>205</v>
      </c>
      <c r="B170" s="11" t="s">
        <v>27</v>
      </c>
      <c r="C170" s="10" t="s">
        <v>206</v>
      </c>
      <c r="D170" s="12" t="n">
        <v>6.17</v>
      </c>
      <c r="E170" s="12" t="n">
        <v>37.16</v>
      </c>
      <c r="F170" s="12" t="n">
        <f aca="false">E170-D170</f>
        <v>30.99</v>
      </c>
      <c r="G170" s="13" t="n">
        <f aca="false">IFERROR(F170/E170,"")</f>
        <v>0.833961248654467</v>
      </c>
      <c r="H170" s="12" t="n">
        <v>23.97</v>
      </c>
      <c r="I170" s="12" t="n">
        <f aca="false">H170-D170</f>
        <v>17.8</v>
      </c>
      <c r="J170" s="13" t="n">
        <f aca="false">IFERROR(I170/H170,"")</f>
        <v>0.742594910304547</v>
      </c>
      <c r="K170" s="12" t="n">
        <v>16.01</v>
      </c>
      <c r="L170" s="12" t="n">
        <f aca="false">K170-D170</f>
        <v>9.84</v>
      </c>
      <c r="M170" s="13" t="n">
        <f aca="false">IFERROR(L170/K170,"")</f>
        <v>0.614615865084322</v>
      </c>
      <c r="N170" s="12" t="n">
        <v>14.56</v>
      </c>
      <c r="O170" s="12" t="n">
        <f aca="false">N170-D170</f>
        <v>8.39</v>
      </c>
      <c r="P170" s="13" t="n">
        <f aca="false">IFERROR(O170/N170,"")</f>
        <v>0.576236263736264</v>
      </c>
      <c r="Q170" s="12" t="n">
        <v>14.02</v>
      </c>
      <c r="R170" s="12" t="n">
        <f aca="false">Q170-D170</f>
        <v>7.85</v>
      </c>
      <c r="S170" s="13" t="n">
        <f aca="false">IFERROR(R170/Q170,"")</f>
        <v>0.559914407988588</v>
      </c>
    </row>
    <row r="171" customFormat="false" ht="15" hidden="false" customHeight="false" outlineLevel="0" collapsed="false">
      <c r="A171" s="6" t="s">
        <v>207</v>
      </c>
      <c r="B171" s="7" t="s">
        <v>27</v>
      </c>
      <c r="C171" s="6" t="s">
        <v>208</v>
      </c>
      <c r="D171" s="8" t="n">
        <v>6</v>
      </c>
      <c r="E171" s="8" t="n">
        <v>37.16</v>
      </c>
      <c r="F171" s="8" t="n">
        <f aca="false">E171-D171</f>
        <v>31.16</v>
      </c>
      <c r="G171" s="9" t="n">
        <f aca="false">IFERROR(F171/E171,"")</f>
        <v>0.838536060279871</v>
      </c>
      <c r="H171" s="8" t="n">
        <v>23.97</v>
      </c>
      <c r="I171" s="8" t="n">
        <f aca="false">H171-D171</f>
        <v>17.97</v>
      </c>
      <c r="J171" s="9" t="n">
        <f aca="false">IFERROR(I171/H171,"")</f>
        <v>0.749687108886108</v>
      </c>
      <c r="K171" s="8" t="n">
        <v>16.17</v>
      </c>
      <c r="L171" s="8" t="n">
        <f aca="false">K171-D171</f>
        <v>10.17</v>
      </c>
      <c r="M171" s="9" t="n">
        <f aca="false">IFERROR(L171/K171,"")</f>
        <v>0.628942486085343</v>
      </c>
      <c r="N171" s="8" t="n">
        <v>14.56</v>
      </c>
      <c r="O171" s="8" t="n">
        <f aca="false">N171-D171</f>
        <v>8.56</v>
      </c>
      <c r="P171" s="9" t="n">
        <f aca="false">IFERROR(O171/N171,"")</f>
        <v>0.587912087912088</v>
      </c>
      <c r="Q171" s="8" t="n">
        <v>14.02</v>
      </c>
      <c r="R171" s="8" t="n">
        <f aca="false">Q171-D171</f>
        <v>8.02</v>
      </c>
      <c r="S171" s="9" t="n">
        <f aca="false">IFERROR(R171/Q171,"")</f>
        <v>0.572039942938659</v>
      </c>
    </row>
    <row r="172" customFormat="false" ht="15" hidden="false" customHeight="false" outlineLevel="0" collapsed="false">
      <c r="A172" s="10" t="s">
        <v>209</v>
      </c>
      <c r="B172" s="11" t="s">
        <v>27</v>
      </c>
      <c r="C172" s="10" t="s">
        <v>210</v>
      </c>
      <c r="D172" s="12" t="n">
        <v>6.06</v>
      </c>
      <c r="E172" s="12" t="n">
        <v>37.16</v>
      </c>
      <c r="F172" s="12" t="n">
        <f aca="false">E172-D172</f>
        <v>31.1</v>
      </c>
      <c r="G172" s="13" t="n">
        <f aca="false">IFERROR(F172/E172,"")</f>
        <v>0.83692142088267</v>
      </c>
      <c r="H172" s="12" t="n">
        <v>23.97</v>
      </c>
      <c r="I172" s="12" t="n">
        <f aca="false">H172-D172</f>
        <v>17.91</v>
      </c>
      <c r="J172" s="13" t="n">
        <f aca="false">IFERROR(I172/H172,"")</f>
        <v>0.747183979974969</v>
      </c>
      <c r="K172" s="12" t="n">
        <v>14.98</v>
      </c>
      <c r="L172" s="12" t="n">
        <f aca="false">K172-D172</f>
        <v>8.92</v>
      </c>
      <c r="M172" s="13" t="n">
        <f aca="false">IFERROR(L172/K172,"")</f>
        <v>0.595460614152203</v>
      </c>
      <c r="N172" s="12" t="n">
        <v>14.56</v>
      </c>
      <c r="O172" s="12" t="n">
        <f aca="false">N172-D172</f>
        <v>8.5</v>
      </c>
      <c r="P172" s="13" t="n">
        <f aca="false">IFERROR(O172/N172,"")</f>
        <v>0.583791208791209</v>
      </c>
      <c r="Q172" s="12" t="n">
        <v>14.02</v>
      </c>
      <c r="R172" s="12" t="n">
        <f aca="false">Q172-D172</f>
        <v>7.96</v>
      </c>
      <c r="S172" s="13" t="n">
        <f aca="false">IFERROR(R172/Q172,"")</f>
        <v>0.567760342368046</v>
      </c>
    </row>
    <row r="173" customFormat="false" ht="15" hidden="false" customHeight="false" outlineLevel="0" collapsed="false">
      <c r="A173" s="6" t="s">
        <v>211</v>
      </c>
      <c r="B173" s="7" t="s">
        <v>27</v>
      </c>
      <c r="C173" s="6" t="s">
        <v>212</v>
      </c>
      <c r="D173" s="8" t="n">
        <v>6.08</v>
      </c>
      <c r="E173" s="8" t="n">
        <v>37.16</v>
      </c>
      <c r="F173" s="8" t="n">
        <f aca="false">E173-D173</f>
        <v>31.08</v>
      </c>
      <c r="G173" s="9" t="n">
        <f aca="false">IFERROR(F173/E173,"")</f>
        <v>0.836383207750269</v>
      </c>
      <c r="H173" s="8" t="n">
        <v>23.97</v>
      </c>
      <c r="I173" s="8" t="n">
        <f aca="false">H173-D173</f>
        <v>17.89</v>
      </c>
      <c r="J173" s="9" t="n">
        <f aca="false">IFERROR(I173/H173,"")</f>
        <v>0.746349603671256</v>
      </c>
      <c r="K173" s="8" t="n">
        <v>14.98</v>
      </c>
      <c r="L173" s="8" t="n">
        <f aca="false">K173-D173</f>
        <v>8.9</v>
      </c>
      <c r="M173" s="9" t="n">
        <f aca="false">IFERROR(L173/K173,"")</f>
        <v>0.594125500667557</v>
      </c>
      <c r="N173" s="8" t="n">
        <v>14.56</v>
      </c>
      <c r="O173" s="8" t="n">
        <f aca="false">N173-D173</f>
        <v>8.48</v>
      </c>
      <c r="P173" s="9" t="n">
        <f aca="false">IFERROR(O173/N173,"")</f>
        <v>0.582417582417583</v>
      </c>
      <c r="Q173" s="8" t="n">
        <v>14.02</v>
      </c>
      <c r="R173" s="8" t="n">
        <f aca="false">Q173-D173</f>
        <v>7.94</v>
      </c>
      <c r="S173" s="9" t="n">
        <f aca="false">IFERROR(R173/Q173,"")</f>
        <v>0.566333808844508</v>
      </c>
    </row>
    <row r="174" customFormat="false" ht="15" hidden="false" customHeight="false" outlineLevel="0" collapsed="false">
      <c r="A174" s="10" t="s">
        <v>213</v>
      </c>
      <c r="B174" s="11" t="s">
        <v>27</v>
      </c>
      <c r="C174" s="10" t="s">
        <v>214</v>
      </c>
      <c r="D174" s="12" t="n">
        <v>6.06</v>
      </c>
      <c r="E174" s="12" t="n">
        <v>37.16</v>
      </c>
      <c r="F174" s="12" t="n">
        <f aca="false">E174-D174</f>
        <v>31.1</v>
      </c>
      <c r="G174" s="13" t="n">
        <f aca="false">IFERROR(F174/E174,"")</f>
        <v>0.83692142088267</v>
      </c>
      <c r="H174" s="12" t="n">
        <v>23.97</v>
      </c>
      <c r="I174" s="12" t="n">
        <f aca="false">H174-D174</f>
        <v>17.91</v>
      </c>
      <c r="J174" s="13" t="n">
        <f aca="false">IFERROR(I174/H174,"")</f>
        <v>0.747183979974969</v>
      </c>
      <c r="K174" s="12" t="n">
        <v>14.98</v>
      </c>
      <c r="L174" s="12" t="n">
        <f aca="false">K174-D174</f>
        <v>8.92</v>
      </c>
      <c r="M174" s="13" t="n">
        <f aca="false">IFERROR(L174/K174,"")</f>
        <v>0.595460614152203</v>
      </c>
      <c r="N174" s="12" t="n">
        <v>14.56</v>
      </c>
      <c r="O174" s="12" t="n">
        <f aca="false">N174-D174</f>
        <v>8.5</v>
      </c>
      <c r="P174" s="13" t="n">
        <f aca="false">IFERROR(O174/N174,"")</f>
        <v>0.583791208791209</v>
      </c>
      <c r="Q174" s="12" t="n">
        <v>14.02</v>
      </c>
      <c r="R174" s="12" t="n">
        <f aca="false">Q174-D174</f>
        <v>7.96</v>
      </c>
      <c r="S174" s="13" t="n">
        <f aca="false">IFERROR(R174/Q174,"")</f>
        <v>0.567760342368046</v>
      </c>
    </row>
    <row r="175" customFormat="false" ht="15" hidden="false" customHeight="false" outlineLevel="0" collapsed="false">
      <c r="A175" s="6" t="s">
        <v>215</v>
      </c>
      <c r="B175" s="7" t="s">
        <v>27</v>
      </c>
      <c r="C175" s="6" t="s">
        <v>216</v>
      </c>
      <c r="D175" s="8" t="n">
        <v>5.84</v>
      </c>
      <c r="E175" s="8" t="n">
        <v>36.12</v>
      </c>
      <c r="F175" s="8" t="n">
        <f aca="false">E175-D175</f>
        <v>30.28</v>
      </c>
      <c r="G175" s="9" t="n">
        <f aca="false">IFERROR(F175/E175,"")</f>
        <v>0.838316722037652</v>
      </c>
      <c r="H175" s="8" t="n">
        <v>23.29</v>
      </c>
      <c r="I175" s="8" t="n">
        <f aca="false">H175-D175</f>
        <v>17.45</v>
      </c>
      <c r="J175" s="9" t="n">
        <f aca="false">IFERROR(I175/H175,"")</f>
        <v>0.74924860455131</v>
      </c>
      <c r="K175" s="8" t="n">
        <v>14.49</v>
      </c>
      <c r="L175" s="8" t="n">
        <f aca="false">K175-D175</f>
        <v>8.65</v>
      </c>
      <c r="M175" s="9" t="n">
        <f aca="false">IFERROR(L175/K175,"")</f>
        <v>0.59696342305038</v>
      </c>
      <c r="N175" s="8" t="n">
        <v>14.12</v>
      </c>
      <c r="O175" s="8" t="n">
        <f aca="false">N175-D175</f>
        <v>8.28</v>
      </c>
      <c r="P175" s="9" t="n">
        <f aca="false">IFERROR(O175/N175,"")</f>
        <v>0.586402266288952</v>
      </c>
      <c r="Q175" s="8" t="n">
        <v>13.6</v>
      </c>
      <c r="R175" s="8" t="n">
        <f aca="false">Q175-D175</f>
        <v>7.76</v>
      </c>
      <c r="S175" s="9" t="n">
        <f aca="false">IFERROR(R175/Q175,"")</f>
        <v>0.570588235294118</v>
      </c>
    </row>
    <row r="176" customFormat="false" ht="15" hidden="false" customHeight="false" outlineLevel="0" collapsed="false">
      <c r="A176" s="10" t="s">
        <v>217</v>
      </c>
      <c r="B176" s="11" t="s">
        <v>27</v>
      </c>
      <c r="C176" s="10" t="s">
        <v>218</v>
      </c>
      <c r="D176" s="12" t="n">
        <v>6.31</v>
      </c>
      <c r="E176" s="12" t="n">
        <v>37.16</v>
      </c>
      <c r="F176" s="12" t="n">
        <f aca="false">E176-D176</f>
        <v>30.85</v>
      </c>
      <c r="G176" s="13" t="n">
        <f aca="false">IFERROR(F176/E176,"")</f>
        <v>0.830193756727664</v>
      </c>
      <c r="H176" s="12" t="n">
        <v>23.97</v>
      </c>
      <c r="I176" s="12" t="n">
        <f aca="false">H176-D176</f>
        <v>17.66</v>
      </c>
      <c r="J176" s="13" t="n">
        <f aca="false">IFERROR(I176/H176,"")</f>
        <v>0.736754276178557</v>
      </c>
      <c r="K176" s="12" t="n">
        <v>14.98</v>
      </c>
      <c r="L176" s="12" t="n">
        <f aca="false">K176-D176</f>
        <v>8.67</v>
      </c>
      <c r="M176" s="13" t="n">
        <f aca="false">IFERROR(L176/K176,"")</f>
        <v>0.578771695594126</v>
      </c>
      <c r="N176" s="12" t="n">
        <v>14.56</v>
      </c>
      <c r="O176" s="12" t="n">
        <f aca="false">N176-D176</f>
        <v>8.25</v>
      </c>
      <c r="P176" s="13" t="n">
        <f aca="false">IFERROR(O176/N176,"")</f>
        <v>0.566620879120879</v>
      </c>
      <c r="Q176" s="12" t="n">
        <v>14.02</v>
      </c>
      <c r="R176" s="12" t="n">
        <f aca="false">Q176-D176</f>
        <v>7.71</v>
      </c>
      <c r="S176" s="13" t="n">
        <f aca="false">IFERROR(R176/Q176,"")</f>
        <v>0.549928673323823</v>
      </c>
    </row>
    <row r="177" customFormat="false" ht="15" hidden="false" customHeight="false" outlineLevel="0" collapsed="false">
      <c r="A177" s="6" t="s">
        <v>219</v>
      </c>
      <c r="B177" s="7" t="s">
        <v>27</v>
      </c>
      <c r="C177" s="6" t="s">
        <v>220</v>
      </c>
      <c r="D177" s="8" t="n">
        <v>5.84</v>
      </c>
      <c r="E177" s="8" t="n">
        <v>37.16</v>
      </c>
      <c r="F177" s="8" t="n">
        <f aca="false">E177-D177</f>
        <v>31.32</v>
      </c>
      <c r="G177" s="9" t="n">
        <f aca="false">IFERROR(F177/E177,"")</f>
        <v>0.842841765339074</v>
      </c>
      <c r="H177" s="8" t="n">
        <v>23.97</v>
      </c>
      <c r="I177" s="8" t="n">
        <f aca="false">H177-D177</f>
        <v>18.13</v>
      </c>
      <c r="J177" s="9" t="n">
        <f aca="false">IFERROR(I177/H177,"")</f>
        <v>0.756362119315811</v>
      </c>
      <c r="K177" s="8" t="n">
        <v>14.82</v>
      </c>
      <c r="L177" s="8" t="n">
        <f aca="false">K177-D177</f>
        <v>8.98</v>
      </c>
      <c r="M177" s="9" t="n">
        <f aca="false">IFERROR(L177/K177,"")</f>
        <v>0.605937921727396</v>
      </c>
      <c r="N177" s="8" t="n">
        <v>14.56</v>
      </c>
      <c r="O177" s="8" t="n">
        <f aca="false">N177-D177</f>
        <v>8.72</v>
      </c>
      <c r="P177" s="9" t="n">
        <f aca="false">IFERROR(O177/N177,"")</f>
        <v>0.598901098901099</v>
      </c>
      <c r="Q177" s="8" t="n">
        <v>14.02</v>
      </c>
      <c r="R177" s="8" t="n">
        <f aca="false">Q177-D177</f>
        <v>8.18</v>
      </c>
      <c r="S177" s="9" t="n">
        <f aca="false">IFERROR(R177/Q177,"")</f>
        <v>0.583452211126961</v>
      </c>
    </row>
    <row r="178" customFormat="false" ht="15" hidden="false" customHeight="false" outlineLevel="0" collapsed="false">
      <c r="A178" s="10" t="s">
        <v>221</v>
      </c>
      <c r="B178" s="11" t="s">
        <v>27</v>
      </c>
      <c r="C178" s="10" t="s">
        <v>222</v>
      </c>
      <c r="D178" s="12" t="n">
        <v>6.37</v>
      </c>
      <c r="E178" s="12" t="n">
        <v>37.16</v>
      </c>
      <c r="F178" s="12" t="n">
        <f aca="false">E178-D178</f>
        <v>30.79</v>
      </c>
      <c r="G178" s="13" t="n">
        <f aca="false">IFERROR(F178/E178,"")</f>
        <v>0.828579117330463</v>
      </c>
      <c r="H178" s="12" t="n">
        <v>23.97</v>
      </c>
      <c r="I178" s="12" t="n">
        <f aca="false">H178-D178</f>
        <v>17.6</v>
      </c>
      <c r="J178" s="13" t="n">
        <f aca="false">IFERROR(I178/H178,"")</f>
        <v>0.734251147267418</v>
      </c>
      <c r="K178" s="12" t="n">
        <v>14.98</v>
      </c>
      <c r="L178" s="12" t="n">
        <f aca="false">K178-D178</f>
        <v>8.61</v>
      </c>
      <c r="M178" s="13" t="n">
        <f aca="false">IFERROR(L178/K178,"")</f>
        <v>0.574766355140187</v>
      </c>
      <c r="N178" s="12" t="n">
        <v>14.56</v>
      </c>
      <c r="O178" s="12" t="n">
        <f aca="false">N178-D178</f>
        <v>8.19</v>
      </c>
      <c r="P178" s="13" t="n">
        <f aca="false">IFERROR(O178/N178,"")</f>
        <v>0.5625</v>
      </c>
      <c r="Q178" s="12" t="n">
        <v>14.02</v>
      </c>
      <c r="R178" s="12" t="n">
        <f aca="false">Q178-D178</f>
        <v>7.65</v>
      </c>
      <c r="S178" s="13" t="n">
        <f aca="false">IFERROR(R178/Q178,"")</f>
        <v>0.54564907275321</v>
      </c>
    </row>
    <row r="179" customFormat="false" ht="15" hidden="false" customHeight="false" outlineLevel="0" collapsed="false">
      <c r="A179" s="6" t="s">
        <v>223</v>
      </c>
      <c r="B179" s="7" t="s">
        <v>27</v>
      </c>
      <c r="C179" s="6" t="s">
        <v>224</v>
      </c>
      <c r="D179" s="8" t="n">
        <v>6.17</v>
      </c>
      <c r="E179" s="8" t="n">
        <v>37.16</v>
      </c>
      <c r="F179" s="8" t="n">
        <f aca="false">E179-D179</f>
        <v>30.99</v>
      </c>
      <c r="G179" s="9" t="n">
        <f aca="false">IFERROR(F179/E179,"")</f>
        <v>0.833961248654467</v>
      </c>
      <c r="H179" s="8" t="n">
        <v>23.97</v>
      </c>
      <c r="I179" s="8" t="n">
        <f aca="false">H179-D179</f>
        <v>17.8</v>
      </c>
      <c r="J179" s="9" t="n">
        <f aca="false">IFERROR(I179/H179,"")</f>
        <v>0.742594910304547</v>
      </c>
      <c r="K179" s="8" t="n">
        <v>14.82</v>
      </c>
      <c r="L179" s="8" t="n">
        <f aca="false">K179-D179</f>
        <v>8.65</v>
      </c>
      <c r="M179" s="9" t="n">
        <f aca="false">IFERROR(L179/K179,"")</f>
        <v>0.583670715249663</v>
      </c>
      <c r="N179" s="8" t="n">
        <v>14.56</v>
      </c>
      <c r="O179" s="8" t="n">
        <f aca="false">N179-D179</f>
        <v>8.39</v>
      </c>
      <c r="P179" s="9" t="n">
        <f aca="false">IFERROR(O179/N179,"")</f>
        <v>0.576236263736264</v>
      </c>
      <c r="Q179" s="8" t="n">
        <v>14.02</v>
      </c>
      <c r="R179" s="8" t="n">
        <f aca="false">Q179-D179</f>
        <v>7.85</v>
      </c>
      <c r="S179" s="9" t="n">
        <f aca="false">IFERROR(R179/Q179,"")</f>
        <v>0.559914407988588</v>
      </c>
    </row>
    <row r="180" customFormat="false" ht="15" hidden="false" customHeight="false" outlineLevel="0" collapsed="false">
      <c r="A180" s="10" t="s">
        <v>225</v>
      </c>
      <c r="B180" s="11" t="s">
        <v>27</v>
      </c>
      <c r="C180" s="10" t="s">
        <v>226</v>
      </c>
      <c r="D180" s="12" t="n">
        <v>6.06</v>
      </c>
      <c r="E180" s="12" t="n">
        <v>34.47</v>
      </c>
      <c r="F180" s="12" t="n">
        <f aca="false">E180-D180</f>
        <v>28.41</v>
      </c>
      <c r="G180" s="13" t="n">
        <f aca="false">IFERROR(F180/E180,"")</f>
        <v>0.824194952132289</v>
      </c>
      <c r="H180" s="12" t="n">
        <v>22.09</v>
      </c>
      <c r="I180" s="12" t="n">
        <f aca="false">H180-D180</f>
        <v>16.03</v>
      </c>
      <c r="J180" s="13" t="n">
        <f aca="false">IFERROR(I180/H180,"")</f>
        <v>0.725667722951562</v>
      </c>
      <c r="K180" s="12" t="n">
        <v>13.35</v>
      </c>
      <c r="L180" s="12" t="n">
        <f aca="false">K180-D180</f>
        <v>7.29</v>
      </c>
      <c r="M180" s="13" t="n">
        <f aca="false">IFERROR(L180/K180,"")</f>
        <v>0.546067415730337</v>
      </c>
      <c r="N180" s="12" t="n">
        <v>13.1</v>
      </c>
      <c r="O180" s="12" t="n">
        <f aca="false">N180-D180</f>
        <v>7.04</v>
      </c>
      <c r="P180" s="13" t="n">
        <f aca="false">IFERROR(O180/N180,"")</f>
        <v>0.537404580152672</v>
      </c>
      <c r="Q180" s="12" t="n">
        <v>12.62</v>
      </c>
      <c r="R180" s="12" t="n">
        <f aca="false">Q180-D180</f>
        <v>6.56</v>
      </c>
      <c r="S180" s="13" t="n">
        <f aca="false">IFERROR(R180/Q180,"")</f>
        <v>0.519809825673534</v>
      </c>
    </row>
    <row r="181" customFormat="false" ht="15" hidden="false" customHeight="false" outlineLevel="0" collapsed="false">
      <c r="A181" s="6" t="s">
        <v>227</v>
      </c>
      <c r="B181" s="7" t="s">
        <v>27</v>
      </c>
      <c r="C181" s="6" t="s">
        <v>228</v>
      </c>
      <c r="D181" s="8" t="n">
        <v>5.82</v>
      </c>
      <c r="E181" s="8" t="n">
        <v>39.94</v>
      </c>
      <c r="F181" s="8" t="n">
        <f aca="false">E181-D181</f>
        <v>34.12</v>
      </c>
      <c r="G181" s="9" t="n">
        <f aca="false">IFERROR(F181/E181,"")</f>
        <v>0.8542814221332</v>
      </c>
      <c r="H181" s="8" t="n">
        <v>25.91</v>
      </c>
      <c r="I181" s="8" t="n">
        <f aca="false">H181-D181</f>
        <v>20.09</v>
      </c>
      <c r="J181" s="9" t="n">
        <f aca="false">IFERROR(I181/H181,"")</f>
        <v>0.775376302585874</v>
      </c>
      <c r="K181" s="8" t="n">
        <v>13.38</v>
      </c>
      <c r="L181" s="8" t="n">
        <f aca="false">K181-D181</f>
        <v>7.56</v>
      </c>
      <c r="M181" s="9" t="n">
        <f aca="false">IFERROR(L181/K181,"")</f>
        <v>0.565022421524664</v>
      </c>
      <c r="N181" s="8" t="n">
        <v>16.06</v>
      </c>
      <c r="O181" s="8" t="n">
        <f aca="false">N181-D181</f>
        <v>10.24</v>
      </c>
      <c r="P181" s="9" t="n">
        <f aca="false">IFERROR(O181/N181,"")</f>
        <v>0.63760896637609</v>
      </c>
      <c r="Q181" s="8" t="n">
        <v>15.46</v>
      </c>
      <c r="R181" s="8" t="n">
        <f aca="false">Q181-D181</f>
        <v>9.64</v>
      </c>
      <c r="S181" s="9" t="n">
        <f aca="false">IFERROR(R181/Q181,"")</f>
        <v>0.623544631306598</v>
      </c>
    </row>
    <row r="182" customFormat="false" ht="15" hidden="false" customHeight="false" outlineLevel="0" collapsed="false">
      <c r="A182" s="10" t="s">
        <v>229</v>
      </c>
      <c r="B182" s="11" t="s">
        <v>27</v>
      </c>
      <c r="C182" s="10" t="s">
        <v>230</v>
      </c>
      <c r="D182" s="12" t="n">
        <v>6</v>
      </c>
      <c r="E182" s="12" t="n">
        <v>37.16</v>
      </c>
      <c r="F182" s="12" t="n">
        <f aca="false">E182-D182</f>
        <v>31.16</v>
      </c>
      <c r="G182" s="13" t="n">
        <f aca="false">IFERROR(F182/E182,"")</f>
        <v>0.838536060279871</v>
      </c>
      <c r="H182" s="12" t="n">
        <v>23.97</v>
      </c>
      <c r="I182" s="12" t="n">
        <f aca="false">H182-D182</f>
        <v>17.97</v>
      </c>
      <c r="J182" s="13" t="n">
        <f aca="false">IFERROR(I182/H182,"")</f>
        <v>0.749687108886108</v>
      </c>
      <c r="K182" s="12" t="n">
        <v>14.82</v>
      </c>
      <c r="L182" s="12" t="n">
        <f aca="false">K182-D182</f>
        <v>8.82</v>
      </c>
      <c r="M182" s="13" t="n">
        <f aca="false">IFERROR(L182/K182,"")</f>
        <v>0.595141700404858</v>
      </c>
      <c r="N182" s="12" t="n">
        <v>14.56</v>
      </c>
      <c r="O182" s="12" t="n">
        <f aca="false">N182-D182</f>
        <v>8.56</v>
      </c>
      <c r="P182" s="13" t="n">
        <f aca="false">IFERROR(O182/N182,"")</f>
        <v>0.587912087912088</v>
      </c>
      <c r="Q182" s="12" t="n">
        <v>14.02</v>
      </c>
      <c r="R182" s="12" t="n">
        <f aca="false">Q182-D182</f>
        <v>8.02</v>
      </c>
      <c r="S182" s="13" t="n">
        <f aca="false">IFERROR(R182/Q182,"")</f>
        <v>0.572039942938659</v>
      </c>
    </row>
    <row r="183" customFormat="false" ht="15" hidden="false" customHeight="false" outlineLevel="0" collapsed="false">
      <c r="A183" s="6" t="s">
        <v>231</v>
      </c>
      <c r="B183" s="7" t="s">
        <v>27</v>
      </c>
      <c r="C183" s="6" t="s">
        <v>232</v>
      </c>
      <c r="D183" s="8" t="n">
        <v>6.06</v>
      </c>
      <c r="E183" s="8" t="n">
        <v>37.17</v>
      </c>
      <c r="F183" s="8" t="n">
        <f aca="false">E183-D183</f>
        <v>31.11</v>
      </c>
      <c r="G183" s="9" t="n">
        <f aca="false">IFERROR(F183/E183,"")</f>
        <v>0.836965294592413</v>
      </c>
      <c r="H183" s="8" t="n">
        <v>23.97</v>
      </c>
      <c r="I183" s="8" t="n">
        <f aca="false">H183-D183</f>
        <v>17.91</v>
      </c>
      <c r="J183" s="9" t="n">
        <f aca="false">IFERROR(I183/H183,"")</f>
        <v>0.747183979974969</v>
      </c>
      <c r="K183" s="8" t="n">
        <v>16.01</v>
      </c>
      <c r="L183" s="8" t="n">
        <f aca="false">K183-D183</f>
        <v>9.95</v>
      </c>
      <c r="M183" s="9" t="n">
        <f aca="false">IFERROR(L183/K183,"")</f>
        <v>0.621486570893192</v>
      </c>
      <c r="N183" s="8" t="n">
        <v>14.56</v>
      </c>
      <c r="O183" s="8" t="n">
        <f aca="false">N183-D183</f>
        <v>8.5</v>
      </c>
      <c r="P183" s="9" t="n">
        <f aca="false">IFERROR(O183/N183,"")</f>
        <v>0.583791208791209</v>
      </c>
      <c r="Q183" s="8" t="n">
        <v>14.02</v>
      </c>
      <c r="R183" s="8" t="n">
        <f aca="false">Q183-D183</f>
        <v>7.96</v>
      </c>
      <c r="S183" s="9" t="n">
        <f aca="false">IFERROR(R183/Q183,"")</f>
        <v>0.567760342368046</v>
      </c>
    </row>
    <row r="184" customFormat="false" ht="15" hidden="false" customHeight="false" outlineLevel="0" collapsed="false">
      <c r="A184" s="10" t="s">
        <v>233</v>
      </c>
      <c r="B184" s="11" t="s">
        <v>27</v>
      </c>
      <c r="C184" s="10" t="s">
        <v>234</v>
      </c>
      <c r="D184" s="12" t="n">
        <v>5.84</v>
      </c>
      <c r="E184" s="12" t="n">
        <v>37.16</v>
      </c>
      <c r="F184" s="12" t="n">
        <f aca="false">E184-D184</f>
        <v>31.32</v>
      </c>
      <c r="G184" s="13" t="n">
        <f aca="false">IFERROR(F184/E184,"")</f>
        <v>0.842841765339074</v>
      </c>
      <c r="H184" s="12" t="n">
        <v>23.97</v>
      </c>
      <c r="I184" s="12" t="n">
        <f aca="false">H184-D184</f>
        <v>18.13</v>
      </c>
      <c r="J184" s="13" t="n">
        <f aca="false">IFERROR(I184/H184,"")</f>
        <v>0.756362119315811</v>
      </c>
      <c r="K184" s="12" t="n">
        <v>14.98</v>
      </c>
      <c r="L184" s="12" t="n">
        <f aca="false">K184-D184</f>
        <v>9.14</v>
      </c>
      <c r="M184" s="13" t="n">
        <f aca="false">IFERROR(L184/K184,"")</f>
        <v>0.610146862483311</v>
      </c>
      <c r="N184" s="12" t="n">
        <v>14.56</v>
      </c>
      <c r="O184" s="12" t="n">
        <f aca="false">N184-D184</f>
        <v>8.72</v>
      </c>
      <c r="P184" s="13" t="n">
        <f aca="false">IFERROR(O184/N184,"")</f>
        <v>0.598901098901099</v>
      </c>
      <c r="Q184" s="12" t="n">
        <v>14.02</v>
      </c>
      <c r="R184" s="12" t="n">
        <f aca="false">Q184-D184</f>
        <v>8.18</v>
      </c>
      <c r="S184" s="13" t="n">
        <f aca="false">IFERROR(R184/Q184,"")</f>
        <v>0.583452211126961</v>
      </c>
    </row>
    <row r="185" customFormat="false" ht="15" hidden="false" customHeight="false" outlineLevel="0" collapsed="false">
      <c r="A185" s="6" t="s">
        <v>235</v>
      </c>
      <c r="B185" s="7" t="s">
        <v>27</v>
      </c>
      <c r="C185" s="6" t="s">
        <v>236</v>
      </c>
      <c r="D185" s="8" t="n">
        <v>6.31</v>
      </c>
      <c r="E185" s="8" t="n">
        <v>36.34</v>
      </c>
      <c r="F185" s="8" t="n">
        <f aca="false">E185-D185</f>
        <v>30.03</v>
      </c>
      <c r="G185" s="9" t="n">
        <f aca="false">IFERROR(F185/E185,"")</f>
        <v>0.826362135388002</v>
      </c>
      <c r="H185" s="8" t="n">
        <v>23.43</v>
      </c>
      <c r="I185" s="8" t="n">
        <f aca="false">H185-D185</f>
        <v>17.12</v>
      </c>
      <c r="J185" s="9" t="n">
        <f aca="false">IFERROR(I185/H185,"")</f>
        <v>0.730687153222365</v>
      </c>
      <c r="K185" s="8" t="n">
        <v>14.64</v>
      </c>
      <c r="L185" s="8" t="n">
        <f aca="false">K185-D185</f>
        <v>8.33</v>
      </c>
      <c r="M185" s="9" t="n">
        <f aca="false">IFERROR(L185/K185,"")</f>
        <v>0.568989071038252</v>
      </c>
      <c r="N185" s="8" t="n">
        <v>14.24</v>
      </c>
      <c r="O185" s="8" t="n">
        <f aca="false">N185-D185</f>
        <v>7.93</v>
      </c>
      <c r="P185" s="9" t="n">
        <f aca="false">IFERROR(O185/N185,"")</f>
        <v>0.55688202247191</v>
      </c>
      <c r="Q185" s="8" t="n">
        <v>13.71</v>
      </c>
      <c r="R185" s="8" t="n">
        <f aca="false">Q185-D185</f>
        <v>7.4</v>
      </c>
      <c r="S185" s="9" t="n">
        <f aca="false">IFERROR(R185/Q185,"")</f>
        <v>0.539752005835157</v>
      </c>
    </row>
    <row r="186" customFormat="false" ht="15" hidden="false" customHeight="false" outlineLevel="0" collapsed="false">
      <c r="A186" s="10" t="s">
        <v>237</v>
      </c>
      <c r="B186" s="11" t="s">
        <v>27</v>
      </c>
      <c r="C186" s="10" t="s">
        <v>238</v>
      </c>
      <c r="D186" s="12" t="n">
        <v>5.84</v>
      </c>
      <c r="E186" s="12" t="n">
        <v>36.34</v>
      </c>
      <c r="F186" s="12" t="n">
        <f aca="false">E186-D186</f>
        <v>30.5</v>
      </c>
      <c r="G186" s="13" t="n">
        <f aca="false">IFERROR(F186/E186,"")</f>
        <v>0.839295542102367</v>
      </c>
      <c r="H186" s="12" t="n">
        <v>23.43</v>
      </c>
      <c r="I186" s="12" t="n">
        <f aca="false">H186-D186</f>
        <v>17.59</v>
      </c>
      <c r="J186" s="13" t="n">
        <f aca="false">IFERROR(I186/H186,"")</f>
        <v>0.750746905676483</v>
      </c>
      <c r="K186" s="12" t="n">
        <v>14.49</v>
      </c>
      <c r="L186" s="12" t="n">
        <f aca="false">K186-D186</f>
        <v>8.65</v>
      </c>
      <c r="M186" s="13" t="n">
        <f aca="false">IFERROR(L186/K186,"")</f>
        <v>0.59696342305038</v>
      </c>
      <c r="N186" s="12" t="n">
        <v>14.24</v>
      </c>
      <c r="O186" s="12" t="n">
        <f aca="false">N186-D186</f>
        <v>8.4</v>
      </c>
      <c r="P186" s="13" t="n">
        <f aca="false">IFERROR(O186/N186,"")</f>
        <v>0.589887640449438</v>
      </c>
      <c r="Q186" s="12" t="n">
        <v>13.71</v>
      </c>
      <c r="R186" s="12" t="n">
        <f aca="false">Q186-D186</f>
        <v>7.87</v>
      </c>
      <c r="S186" s="13" t="n">
        <f aca="false">IFERROR(R186/Q186,"")</f>
        <v>0.574033552151714</v>
      </c>
    </row>
    <row r="187" customFormat="false" ht="15" hidden="false" customHeight="false" outlineLevel="0" collapsed="false">
      <c r="A187" s="6" t="s">
        <v>239</v>
      </c>
      <c r="B187" s="7" t="s">
        <v>27</v>
      </c>
      <c r="C187" s="6" t="s">
        <v>240</v>
      </c>
      <c r="D187" s="8" t="n">
        <v>6.37</v>
      </c>
      <c r="E187" s="8" t="n">
        <v>36.34</v>
      </c>
      <c r="F187" s="8" t="n">
        <f aca="false">E187-D187</f>
        <v>29.97</v>
      </c>
      <c r="G187" s="9" t="n">
        <f aca="false">IFERROR(F187/E187,"")</f>
        <v>0.824711062190424</v>
      </c>
      <c r="H187" s="8" t="n">
        <v>23.43</v>
      </c>
      <c r="I187" s="8" t="n">
        <f aca="false">H187-D187</f>
        <v>17.06</v>
      </c>
      <c r="J187" s="9" t="n">
        <f aca="false">IFERROR(I187/H187,"")</f>
        <v>0.728126333760137</v>
      </c>
      <c r="K187" s="8" t="n">
        <v>14.54</v>
      </c>
      <c r="L187" s="8" t="n">
        <f aca="false">K187-D187</f>
        <v>8.17</v>
      </c>
      <c r="M187" s="9" t="n">
        <f aca="false">IFERROR(L187/K187,"")</f>
        <v>0.561898211829436</v>
      </c>
      <c r="N187" s="8" t="n">
        <v>14.24</v>
      </c>
      <c r="O187" s="8" t="n">
        <f aca="false">N187-D187</f>
        <v>7.87</v>
      </c>
      <c r="P187" s="9" t="n">
        <f aca="false">IFERROR(O187/N187,"")</f>
        <v>0.552668539325843</v>
      </c>
      <c r="Q187" s="8" t="n">
        <v>13.71</v>
      </c>
      <c r="R187" s="8" t="n">
        <f aca="false">Q187-D187</f>
        <v>7.34</v>
      </c>
      <c r="S187" s="9" t="n">
        <f aca="false">IFERROR(R187/Q187,"")</f>
        <v>0.535375638220277</v>
      </c>
    </row>
    <row r="188" customFormat="false" ht="15" hidden="false" customHeight="false" outlineLevel="0" collapsed="false">
      <c r="A188" s="10" t="s">
        <v>241</v>
      </c>
      <c r="B188" s="11" t="s">
        <v>27</v>
      </c>
      <c r="C188" s="10" t="s">
        <v>242</v>
      </c>
      <c r="D188" s="12" t="n">
        <v>6.06</v>
      </c>
      <c r="E188" s="12" t="n">
        <v>37.16</v>
      </c>
      <c r="F188" s="12" t="n">
        <f aca="false">E188-D188</f>
        <v>31.1</v>
      </c>
      <c r="G188" s="13" t="n">
        <f aca="false">IFERROR(F188/E188,"")</f>
        <v>0.83692142088267</v>
      </c>
      <c r="H188" s="12" t="n">
        <v>23.97</v>
      </c>
      <c r="I188" s="12" t="n">
        <f aca="false">H188-D188</f>
        <v>17.91</v>
      </c>
      <c r="J188" s="13" t="n">
        <f aca="false">IFERROR(I188/H188,"")</f>
        <v>0.747183979974969</v>
      </c>
      <c r="K188" s="12" t="n">
        <v>14.98</v>
      </c>
      <c r="L188" s="12" t="n">
        <f aca="false">K188-D188</f>
        <v>8.92</v>
      </c>
      <c r="M188" s="13" t="n">
        <f aca="false">IFERROR(L188/K188,"")</f>
        <v>0.595460614152203</v>
      </c>
      <c r="N188" s="12" t="n">
        <v>14.56</v>
      </c>
      <c r="O188" s="12" t="n">
        <f aca="false">N188-D188</f>
        <v>8.5</v>
      </c>
      <c r="P188" s="13" t="n">
        <f aca="false">IFERROR(O188/N188,"")</f>
        <v>0.583791208791209</v>
      </c>
      <c r="Q188" s="12" t="n">
        <v>14.02</v>
      </c>
      <c r="R188" s="12" t="n">
        <f aca="false">Q188-D188</f>
        <v>7.96</v>
      </c>
      <c r="S188" s="13" t="n">
        <f aca="false">IFERROR(R188/Q188,"")</f>
        <v>0.567760342368046</v>
      </c>
    </row>
    <row r="189" customFormat="false" ht="15" hidden="false" customHeight="false" outlineLevel="0" collapsed="false">
      <c r="A189" s="6" t="s">
        <v>243</v>
      </c>
      <c r="B189" s="7" t="s">
        <v>27</v>
      </c>
      <c r="C189" s="6" t="s">
        <v>244</v>
      </c>
      <c r="D189" s="8" t="n">
        <v>6.17</v>
      </c>
      <c r="E189" s="8" t="n">
        <v>36.12</v>
      </c>
      <c r="F189" s="8" t="n">
        <f aca="false">E189-D189</f>
        <v>29.95</v>
      </c>
      <c r="G189" s="9" t="n">
        <f aca="false">IFERROR(F189/E189,"")</f>
        <v>0.829180509413068</v>
      </c>
      <c r="H189" s="8" t="n">
        <v>23.29</v>
      </c>
      <c r="I189" s="8" t="n">
        <f aca="false">H189-D189</f>
        <v>17.12</v>
      </c>
      <c r="J189" s="9" t="n">
        <f aca="false">IFERROR(I189/H189,"")</f>
        <v>0.735079433233147</v>
      </c>
      <c r="K189" s="8" t="n">
        <v>14.64</v>
      </c>
      <c r="L189" s="8" t="n">
        <f aca="false">K189-D189</f>
        <v>8.47</v>
      </c>
      <c r="M189" s="9" t="n">
        <f aca="false">IFERROR(L189/K189,"")</f>
        <v>0.578551912568306</v>
      </c>
      <c r="N189" s="8" t="n">
        <v>14.12</v>
      </c>
      <c r="O189" s="8" t="n">
        <f aca="false">N189-D189</f>
        <v>7.95</v>
      </c>
      <c r="P189" s="9" t="n">
        <f aca="false">IFERROR(O189/N189,"")</f>
        <v>0.563031161473088</v>
      </c>
      <c r="Q189" s="8" t="n">
        <v>13.6</v>
      </c>
      <c r="R189" s="8" t="n">
        <f aca="false">Q189-D189</f>
        <v>7.43</v>
      </c>
      <c r="S189" s="9" t="n">
        <f aca="false">IFERROR(R189/Q189,"")</f>
        <v>0.546323529411765</v>
      </c>
    </row>
    <row r="190" customFormat="false" ht="15" hidden="false" customHeight="false" outlineLevel="0" collapsed="false">
      <c r="A190" s="10" t="s">
        <v>245</v>
      </c>
      <c r="B190" s="11" t="s">
        <v>27</v>
      </c>
      <c r="C190" s="10" t="s">
        <v>246</v>
      </c>
      <c r="D190" s="12" t="n">
        <v>6.08</v>
      </c>
      <c r="E190" s="12" t="n">
        <v>36.12</v>
      </c>
      <c r="F190" s="12" t="n">
        <f aca="false">E190-D190</f>
        <v>30.04</v>
      </c>
      <c r="G190" s="13" t="n">
        <f aca="false">IFERROR(F190/E190,"")</f>
        <v>0.831672203765227</v>
      </c>
      <c r="H190" s="12" t="n">
        <v>23.29</v>
      </c>
      <c r="I190" s="12" t="n">
        <f aca="false">H190-D190</f>
        <v>17.21</v>
      </c>
      <c r="J190" s="13" t="n">
        <f aca="false">IFERROR(I190/H190,"")</f>
        <v>0.738943752683555</v>
      </c>
      <c r="K190" s="12" t="n">
        <v>14.53</v>
      </c>
      <c r="L190" s="12" t="n">
        <f aca="false">K190-D190</f>
        <v>8.45</v>
      </c>
      <c r="M190" s="13" t="n">
        <f aca="false">IFERROR(L190/K190,"")</f>
        <v>0.581555402615279</v>
      </c>
      <c r="N190" s="12" t="n">
        <v>14.12</v>
      </c>
      <c r="O190" s="12" t="n">
        <f aca="false">N190-D190</f>
        <v>8.04</v>
      </c>
      <c r="P190" s="13" t="n">
        <f aca="false">IFERROR(O190/N190,"")</f>
        <v>0.569405099150142</v>
      </c>
      <c r="Q190" s="12" t="n">
        <v>13.6</v>
      </c>
      <c r="R190" s="12" t="n">
        <f aca="false">Q190-D190</f>
        <v>7.52</v>
      </c>
      <c r="S190" s="13" t="n">
        <f aca="false">IFERROR(R190/Q190,"")</f>
        <v>0.552941176470588</v>
      </c>
    </row>
    <row r="191" customFormat="false" ht="15" hidden="false" customHeight="false" outlineLevel="0" collapsed="false">
      <c r="A191" s="6" t="s">
        <v>247</v>
      </c>
      <c r="B191" s="7" t="s">
        <v>27</v>
      </c>
      <c r="C191" s="6" t="s">
        <v>248</v>
      </c>
      <c r="D191" s="8" t="n">
        <v>5.84</v>
      </c>
      <c r="E191" s="8" t="n">
        <v>36.12</v>
      </c>
      <c r="F191" s="8" t="n">
        <f aca="false">E191-D191</f>
        <v>30.28</v>
      </c>
      <c r="G191" s="9" t="n">
        <f aca="false">IFERROR(F191/E191,"")</f>
        <v>0.838316722037652</v>
      </c>
      <c r="H191" s="8" t="n">
        <v>23.29</v>
      </c>
      <c r="I191" s="8" t="n">
        <f aca="false">H191-D191</f>
        <v>17.45</v>
      </c>
      <c r="J191" s="9" t="n">
        <f aca="false">IFERROR(I191/H191,"")</f>
        <v>0.74924860455131</v>
      </c>
      <c r="K191" s="8" t="n">
        <v>14.49</v>
      </c>
      <c r="L191" s="8" t="n">
        <f aca="false">K191-D191</f>
        <v>8.65</v>
      </c>
      <c r="M191" s="9" t="n">
        <f aca="false">IFERROR(L191/K191,"")</f>
        <v>0.59696342305038</v>
      </c>
      <c r="N191" s="8" t="n">
        <v>14.12</v>
      </c>
      <c r="O191" s="8" t="n">
        <f aca="false">N191-D191</f>
        <v>8.28</v>
      </c>
      <c r="P191" s="9" t="n">
        <f aca="false">IFERROR(O191/N191,"")</f>
        <v>0.586402266288952</v>
      </c>
      <c r="Q191" s="8" t="n">
        <v>13.6</v>
      </c>
      <c r="R191" s="8" t="n">
        <f aca="false">Q191-D191</f>
        <v>7.76</v>
      </c>
      <c r="S191" s="9" t="n">
        <f aca="false">IFERROR(R191/Q191,"")</f>
        <v>0.570588235294118</v>
      </c>
    </row>
    <row r="192" customFormat="false" ht="15" hidden="false" customHeight="false" outlineLevel="0" collapsed="false">
      <c r="A192" s="10" t="s">
        <v>249</v>
      </c>
      <c r="B192" s="11" t="s">
        <v>27</v>
      </c>
      <c r="C192" s="10" t="s">
        <v>250</v>
      </c>
      <c r="D192" s="12" t="n">
        <v>6.31</v>
      </c>
      <c r="E192" s="12" t="n">
        <v>36.12</v>
      </c>
      <c r="F192" s="12" t="n">
        <f aca="false">E192-D192</f>
        <v>29.81</v>
      </c>
      <c r="G192" s="13" t="n">
        <f aca="false">IFERROR(F192/E192,"")</f>
        <v>0.82530454042082</v>
      </c>
      <c r="H192" s="12" t="n">
        <v>23.29</v>
      </c>
      <c r="I192" s="12" t="n">
        <f aca="false">H192-D192</f>
        <v>16.98</v>
      </c>
      <c r="J192" s="13" t="n">
        <f aca="false">IFERROR(I192/H192,"")</f>
        <v>0.729068269643624</v>
      </c>
      <c r="K192" s="12" t="n">
        <v>14.49</v>
      </c>
      <c r="L192" s="12" t="n">
        <f aca="false">K192-D192</f>
        <v>8.18</v>
      </c>
      <c r="M192" s="13" t="n">
        <f aca="false">IFERROR(L192/K192,"")</f>
        <v>0.564527260179434</v>
      </c>
      <c r="N192" s="12" t="n">
        <v>14.12</v>
      </c>
      <c r="O192" s="12" t="n">
        <f aca="false">N192-D192</f>
        <v>7.81</v>
      </c>
      <c r="P192" s="13" t="n">
        <f aca="false">IFERROR(O192/N192,"")</f>
        <v>0.553116147308782</v>
      </c>
      <c r="Q192" s="12" t="n">
        <v>13.6</v>
      </c>
      <c r="R192" s="12" t="n">
        <f aca="false">Q192-D192</f>
        <v>7.29</v>
      </c>
      <c r="S192" s="13" t="n">
        <f aca="false">IFERROR(R192/Q192,"")</f>
        <v>0.536029411764706</v>
      </c>
    </row>
    <row r="193" customFormat="false" ht="15" hidden="false" customHeight="false" outlineLevel="0" collapsed="false">
      <c r="A193" s="6" t="s">
        <v>251</v>
      </c>
      <c r="B193" s="7" t="s">
        <v>27</v>
      </c>
      <c r="C193" s="6" t="s">
        <v>252</v>
      </c>
      <c r="D193" s="8" t="n">
        <v>5.84</v>
      </c>
      <c r="E193" s="8" t="n">
        <v>37.16</v>
      </c>
      <c r="F193" s="8" t="n">
        <f aca="false">E193-D193</f>
        <v>31.32</v>
      </c>
      <c r="G193" s="9" t="n">
        <f aca="false">IFERROR(F193/E193,"")</f>
        <v>0.842841765339074</v>
      </c>
      <c r="H193" s="8" t="n">
        <v>23.97</v>
      </c>
      <c r="I193" s="8" t="n">
        <f aca="false">H193-D193</f>
        <v>18.13</v>
      </c>
      <c r="J193" s="9" t="n">
        <f aca="false">IFERROR(I193/H193,"")</f>
        <v>0.756362119315811</v>
      </c>
      <c r="K193" s="8" t="n">
        <v>14.98</v>
      </c>
      <c r="L193" s="8" t="n">
        <f aca="false">K193-D193</f>
        <v>9.14</v>
      </c>
      <c r="M193" s="9" t="n">
        <f aca="false">IFERROR(L193/K193,"")</f>
        <v>0.610146862483311</v>
      </c>
      <c r="N193" s="8" t="n">
        <v>14.56</v>
      </c>
      <c r="O193" s="8" t="n">
        <f aca="false">N193-D193</f>
        <v>8.72</v>
      </c>
      <c r="P193" s="9" t="n">
        <f aca="false">IFERROR(O193/N193,"")</f>
        <v>0.598901098901099</v>
      </c>
      <c r="Q193" s="8" t="n">
        <v>14.02</v>
      </c>
      <c r="R193" s="8" t="n">
        <f aca="false">Q193-D193</f>
        <v>8.18</v>
      </c>
      <c r="S193" s="9" t="n">
        <f aca="false">IFERROR(R193/Q193,"")</f>
        <v>0.583452211126961</v>
      </c>
    </row>
    <row r="194" customFormat="false" ht="15" hidden="false" customHeight="false" outlineLevel="0" collapsed="false">
      <c r="A194" s="10" t="s">
        <v>253</v>
      </c>
      <c r="B194" s="11" t="s">
        <v>27</v>
      </c>
      <c r="C194" s="10" t="s">
        <v>254</v>
      </c>
      <c r="D194" s="12" t="n">
        <v>6.37</v>
      </c>
      <c r="E194" s="12" t="n">
        <v>37.16</v>
      </c>
      <c r="F194" s="12" t="n">
        <f aca="false">E194-D194</f>
        <v>30.79</v>
      </c>
      <c r="G194" s="13" t="n">
        <f aca="false">IFERROR(F194/E194,"")</f>
        <v>0.828579117330463</v>
      </c>
      <c r="H194" s="12" t="n">
        <v>23.97</v>
      </c>
      <c r="I194" s="12" t="n">
        <f aca="false">H194-D194</f>
        <v>17.6</v>
      </c>
      <c r="J194" s="13" t="n">
        <f aca="false">IFERROR(I194/H194,"")</f>
        <v>0.734251147267418</v>
      </c>
      <c r="K194" s="12" t="n">
        <v>14.98</v>
      </c>
      <c r="L194" s="12" t="n">
        <f aca="false">K194-D194</f>
        <v>8.61</v>
      </c>
      <c r="M194" s="13" t="n">
        <f aca="false">IFERROR(L194/K194,"")</f>
        <v>0.574766355140187</v>
      </c>
      <c r="N194" s="12" t="n">
        <v>14.56</v>
      </c>
      <c r="O194" s="12" t="n">
        <f aca="false">N194-D194</f>
        <v>8.19</v>
      </c>
      <c r="P194" s="13" t="n">
        <f aca="false">IFERROR(O194/N194,"")</f>
        <v>0.5625</v>
      </c>
      <c r="Q194" s="12" t="n">
        <v>14.02</v>
      </c>
      <c r="R194" s="12" t="n">
        <f aca="false">Q194-D194</f>
        <v>7.65</v>
      </c>
      <c r="S194" s="13" t="n">
        <f aca="false">IFERROR(R194/Q194,"")</f>
        <v>0.54564907275321</v>
      </c>
    </row>
    <row r="195" customFormat="false" ht="15" hidden="false" customHeight="false" outlineLevel="0" collapsed="false">
      <c r="A195" s="6" t="s">
        <v>255</v>
      </c>
      <c r="B195" s="7" t="s">
        <v>27</v>
      </c>
      <c r="C195" s="6" t="s">
        <v>256</v>
      </c>
      <c r="D195" s="8" t="n">
        <v>6.06</v>
      </c>
      <c r="E195" s="8" t="n">
        <v>37.16</v>
      </c>
      <c r="F195" s="8" t="n">
        <f aca="false">E195-D195</f>
        <v>31.1</v>
      </c>
      <c r="G195" s="9" t="n">
        <f aca="false">IFERROR(F195/E195,"")</f>
        <v>0.83692142088267</v>
      </c>
      <c r="H195" s="8" t="n">
        <v>23.97</v>
      </c>
      <c r="I195" s="8" t="n">
        <f aca="false">H195-D195</f>
        <v>17.91</v>
      </c>
      <c r="J195" s="9" t="n">
        <f aca="false">IFERROR(I195/H195,"")</f>
        <v>0.747183979974969</v>
      </c>
      <c r="K195" s="8" t="n">
        <v>14.98</v>
      </c>
      <c r="L195" s="8" t="n">
        <f aca="false">K195-D195</f>
        <v>8.92</v>
      </c>
      <c r="M195" s="9" t="n">
        <f aca="false">IFERROR(L195/K195,"")</f>
        <v>0.595460614152203</v>
      </c>
      <c r="N195" s="8" t="n">
        <v>14.56</v>
      </c>
      <c r="O195" s="8" t="n">
        <f aca="false">N195-D195</f>
        <v>8.5</v>
      </c>
      <c r="P195" s="9" t="n">
        <f aca="false">IFERROR(O195/N195,"")</f>
        <v>0.583791208791209</v>
      </c>
      <c r="Q195" s="8" t="n">
        <v>14.02</v>
      </c>
      <c r="R195" s="8" t="n">
        <f aca="false">Q195-D195</f>
        <v>7.96</v>
      </c>
      <c r="S195" s="9" t="n">
        <f aca="false">IFERROR(R195/Q195,"")</f>
        <v>0.567760342368046</v>
      </c>
    </row>
    <row r="196" customFormat="false" ht="15" hidden="false" customHeight="false" outlineLevel="0" collapsed="false">
      <c r="A196" s="10" t="s">
        <v>257</v>
      </c>
      <c r="B196" s="11" t="s">
        <v>27</v>
      </c>
      <c r="C196" s="10" t="s">
        <v>258</v>
      </c>
      <c r="D196" s="12" t="n">
        <v>6.17</v>
      </c>
      <c r="E196" s="12" t="n">
        <v>37.16</v>
      </c>
      <c r="F196" s="12" t="n">
        <f aca="false">E196-D196</f>
        <v>30.99</v>
      </c>
      <c r="G196" s="13" t="n">
        <f aca="false">IFERROR(F196/E196,"")</f>
        <v>0.833961248654467</v>
      </c>
      <c r="H196" s="12" t="n">
        <v>23.97</v>
      </c>
      <c r="I196" s="12" t="n">
        <f aca="false">H196-D196</f>
        <v>17.8</v>
      </c>
      <c r="J196" s="13" t="n">
        <f aca="false">IFERROR(I196/H196,"")</f>
        <v>0.742594910304547</v>
      </c>
      <c r="K196" s="12" t="n">
        <v>16.17</v>
      </c>
      <c r="L196" s="12" t="n">
        <f aca="false">K196-D196</f>
        <v>10</v>
      </c>
      <c r="M196" s="13" t="n">
        <f aca="false">IFERROR(L196/K196,"")</f>
        <v>0.618429189857761</v>
      </c>
      <c r="N196" s="12" t="n">
        <v>14.56</v>
      </c>
      <c r="O196" s="12" t="n">
        <f aca="false">N196-D196</f>
        <v>8.39</v>
      </c>
      <c r="P196" s="13" t="n">
        <f aca="false">IFERROR(O196/N196,"")</f>
        <v>0.576236263736264</v>
      </c>
      <c r="Q196" s="12" t="n">
        <v>14.02</v>
      </c>
      <c r="R196" s="12" t="n">
        <f aca="false">Q196-D196</f>
        <v>7.85</v>
      </c>
      <c r="S196" s="13" t="n">
        <f aca="false">IFERROR(R196/Q196,"")</f>
        <v>0.559914407988588</v>
      </c>
    </row>
    <row r="197" customFormat="false" ht="15" hidden="false" customHeight="false" outlineLevel="0" collapsed="false">
      <c r="A197" s="6" t="s">
        <v>259</v>
      </c>
      <c r="B197" s="7" t="s">
        <v>27</v>
      </c>
      <c r="C197" s="6" t="s">
        <v>260</v>
      </c>
      <c r="D197" s="8" t="n">
        <v>6.31</v>
      </c>
      <c r="E197" s="8" t="n">
        <v>39.86</v>
      </c>
      <c r="F197" s="8" t="n">
        <f aca="false">E197-D197</f>
        <v>33.55</v>
      </c>
      <c r="G197" s="9" t="n">
        <f aca="false">IFERROR(F197/E197,"")</f>
        <v>0.841695935775213</v>
      </c>
      <c r="H197" s="8" t="n">
        <v>25.87</v>
      </c>
      <c r="I197" s="8" t="n">
        <f aca="false">H197-D197</f>
        <v>19.56</v>
      </c>
      <c r="J197" s="9" t="n">
        <f aca="false">IFERROR(I197/H197,"")</f>
        <v>0.756088132972555</v>
      </c>
      <c r="K197" s="8" t="n">
        <v>14.69</v>
      </c>
      <c r="L197" s="8" t="n">
        <f aca="false">K197-D197</f>
        <v>8.38</v>
      </c>
      <c r="M197" s="9" t="n">
        <f aca="false">IFERROR(L197/K197,"")</f>
        <v>0.570456092579986</v>
      </c>
      <c r="N197" s="8" t="n">
        <v>16.02</v>
      </c>
      <c r="O197" s="8" t="n">
        <f aca="false">N197-D197</f>
        <v>9.71</v>
      </c>
      <c r="P197" s="9" t="n">
        <f aca="false">IFERROR(O197/N197,"")</f>
        <v>0.606117353308365</v>
      </c>
      <c r="Q197" s="8" t="n">
        <v>15.43</v>
      </c>
      <c r="R197" s="8" t="n">
        <f aca="false">Q197-D197</f>
        <v>9.12</v>
      </c>
      <c r="S197" s="9" t="n">
        <f aca="false">IFERROR(R197/Q197,"")</f>
        <v>0.591056383668179</v>
      </c>
    </row>
    <row r="198" customFormat="false" ht="15" hidden="false" customHeight="false" outlineLevel="0" collapsed="false">
      <c r="A198" s="10" t="s">
        <v>261</v>
      </c>
      <c r="B198" s="11" t="s">
        <v>27</v>
      </c>
      <c r="C198" s="10" t="s">
        <v>262</v>
      </c>
      <c r="D198" s="12" t="n">
        <v>6.17</v>
      </c>
      <c r="E198" s="12" t="n">
        <v>37.16</v>
      </c>
      <c r="F198" s="12" t="n">
        <f aca="false">E198-D198</f>
        <v>30.99</v>
      </c>
      <c r="G198" s="13" t="n">
        <f aca="false">IFERROR(F198/E198,"")</f>
        <v>0.833961248654467</v>
      </c>
      <c r="H198" s="12" t="n">
        <v>23.97</v>
      </c>
      <c r="I198" s="12" t="n">
        <f aca="false">H198-D198</f>
        <v>17.8</v>
      </c>
      <c r="J198" s="13" t="n">
        <f aca="false">IFERROR(I198/H198,"")</f>
        <v>0.742594910304547</v>
      </c>
      <c r="K198" s="12" t="n">
        <v>14.82</v>
      </c>
      <c r="L198" s="12" t="n">
        <f aca="false">K198-D198</f>
        <v>8.65</v>
      </c>
      <c r="M198" s="13" t="n">
        <f aca="false">IFERROR(L198/K198,"")</f>
        <v>0.583670715249663</v>
      </c>
      <c r="N198" s="12" t="n">
        <v>14.56</v>
      </c>
      <c r="O198" s="12" t="n">
        <f aca="false">N198-D198</f>
        <v>8.39</v>
      </c>
      <c r="P198" s="13" t="n">
        <f aca="false">IFERROR(O198/N198,"")</f>
        <v>0.576236263736264</v>
      </c>
      <c r="Q198" s="12" t="n">
        <v>14.02</v>
      </c>
      <c r="R198" s="12" t="n">
        <f aca="false">Q198-D198</f>
        <v>7.85</v>
      </c>
      <c r="S198" s="13" t="n">
        <f aca="false">IFERROR(R198/Q198,"")</f>
        <v>0.559914407988588</v>
      </c>
    </row>
    <row r="199" customFormat="false" ht="15" hidden="false" customHeight="false" outlineLevel="0" collapsed="false">
      <c r="A199" s="6" t="s">
        <v>263</v>
      </c>
      <c r="B199" s="7" t="s">
        <v>27</v>
      </c>
      <c r="C199" s="6" t="s">
        <v>264</v>
      </c>
      <c r="D199" s="8" t="n">
        <v>6.08</v>
      </c>
      <c r="E199" s="8" t="n">
        <v>28.04</v>
      </c>
      <c r="F199" s="8" t="n">
        <f aca="false">E199-D199</f>
        <v>21.96</v>
      </c>
      <c r="G199" s="9" t="n">
        <f aca="false">IFERROR(F199/E199,"")</f>
        <v>0.783166904422254</v>
      </c>
      <c r="H199" s="8" t="n">
        <v>18.49</v>
      </c>
      <c r="I199" s="8" t="n">
        <f aca="false">H199-D199</f>
        <v>12.41</v>
      </c>
      <c r="J199" s="9" t="n">
        <f aca="false">IFERROR(I199/H199,"")</f>
        <v>0.671173607355327</v>
      </c>
      <c r="K199" s="8" t="n">
        <v>11.34</v>
      </c>
      <c r="L199" s="8" t="n">
        <f aca="false">K199-D199</f>
        <v>5.26</v>
      </c>
      <c r="M199" s="9" t="n">
        <f aca="false">IFERROR(L199/K199,"")</f>
        <v>0.463844797178131</v>
      </c>
      <c r="N199" s="8" t="n">
        <v>9.63</v>
      </c>
      <c r="O199" s="8" t="n">
        <f aca="false">N199-D199</f>
        <v>3.55</v>
      </c>
      <c r="P199" s="9" t="n">
        <f aca="false">IFERROR(O199/N199,"")</f>
        <v>0.368639667705088</v>
      </c>
      <c r="Q199" s="8" t="n">
        <v>9.27</v>
      </c>
      <c r="R199" s="8" t="n">
        <f aca="false">Q199-D199</f>
        <v>3.19</v>
      </c>
      <c r="S199" s="9" t="n">
        <f aca="false">IFERROR(R199/Q199,"")</f>
        <v>0.344120819848975</v>
      </c>
    </row>
    <row r="200" customFormat="false" ht="15" hidden="false" customHeight="false" outlineLevel="0" collapsed="false">
      <c r="A200" s="10" t="s">
        <v>265</v>
      </c>
      <c r="B200" s="11" t="s">
        <v>27</v>
      </c>
      <c r="C200" s="10" t="s">
        <v>266</v>
      </c>
      <c r="D200" s="12" t="n">
        <v>6.31</v>
      </c>
      <c r="E200" s="12" t="n">
        <v>36.34</v>
      </c>
      <c r="F200" s="12" t="n">
        <f aca="false">E200-D200</f>
        <v>30.03</v>
      </c>
      <c r="G200" s="13" t="n">
        <f aca="false">IFERROR(F200/E200,"")</f>
        <v>0.826362135388002</v>
      </c>
      <c r="H200" s="12" t="n">
        <v>23.43</v>
      </c>
      <c r="I200" s="12" t="n">
        <f aca="false">H200-D200</f>
        <v>17.12</v>
      </c>
      <c r="J200" s="13" t="n">
        <f aca="false">IFERROR(I200/H200,"")</f>
        <v>0.730687153222365</v>
      </c>
      <c r="K200" s="12" t="n">
        <v>14.49</v>
      </c>
      <c r="L200" s="12" t="n">
        <f aca="false">K200-D200</f>
        <v>8.18</v>
      </c>
      <c r="M200" s="13" t="n">
        <f aca="false">IFERROR(L200/K200,"")</f>
        <v>0.564527260179434</v>
      </c>
      <c r="N200" s="12" t="n">
        <v>14.24</v>
      </c>
      <c r="O200" s="12" t="n">
        <f aca="false">N200-D200</f>
        <v>7.93</v>
      </c>
      <c r="P200" s="13" t="n">
        <f aca="false">IFERROR(O200/N200,"")</f>
        <v>0.55688202247191</v>
      </c>
      <c r="Q200" s="12" t="n">
        <v>13.71</v>
      </c>
      <c r="R200" s="12" t="n">
        <f aca="false">Q200-D200</f>
        <v>7.4</v>
      </c>
      <c r="S200" s="13" t="n">
        <f aca="false">IFERROR(R200/Q200,"")</f>
        <v>0.539752005835157</v>
      </c>
    </row>
    <row r="201" customFormat="false" ht="15" hidden="false" customHeight="false" outlineLevel="0" collapsed="false">
      <c r="A201" s="6" t="s">
        <v>267</v>
      </c>
      <c r="B201" s="7" t="s">
        <v>27</v>
      </c>
      <c r="C201" s="6" t="s">
        <v>268</v>
      </c>
      <c r="D201" s="8" t="n">
        <v>6.31</v>
      </c>
      <c r="E201" s="8" t="n">
        <v>36.34</v>
      </c>
      <c r="F201" s="8" t="n">
        <f aca="false">E201-D201</f>
        <v>30.03</v>
      </c>
      <c r="G201" s="9" t="n">
        <f aca="false">IFERROR(F201/E201,"")</f>
        <v>0.826362135388002</v>
      </c>
      <c r="H201" s="8" t="n">
        <v>23.43</v>
      </c>
      <c r="I201" s="8" t="n">
        <f aca="false">H201-D201</f>
        <v>17.12</v>
      </c>
      <c r="J201" s="9" t="n">
        <f aca="false">IFERROR(I201/H201,"")</f>
        <v>0.730687153222365</v>
      </c>
      <c r="K201" s="8" t="n">
        <v>14.54</v>
      </c>
      <c r="L201" s="8" t="n">
        <f aca="false">K201-D201</f>
        <v>8.23</v>
      </c>
      <c r="M201" s="9" t="n">
        <f aca="false">IFERROR(L201/K201,"")</f>
        <v>0.566024759284732</v>
      </c>
      <c r="N201" s="8" t="n">
        <v>14.24</v>
      </c>
      <c r="O201" s="8" t="n">
        <f aca="false">N201-D201</f>
        <v>7.93</v>
      </c>
      <c r="P201" s="9" t="n">
        <f aca="false">IFERROR(O201/N201,"")</f>
        <v>0.55688202247191</v>
      </c>
      <c r="Q201" s="8" t="n">
        <v>13.71</v>
      </c>
      <c r="R201" s="8" t="n">
        <f aca="false">Q201-D201</f>
        <v>7.4</v>
      </c>
      <c r="S201" s="9" t="n">
        <f aca="false">IFERROR(R201/Q201,"")</f>
        <v>0.539752005835157</v>
      </c>
    </row>
    <row r="202" customFormat="false" ht="15" hidden="false" customHeight="false" outlineLevel="0" collapsed="false">
      <c r="A202" s="10" t="s">
        <v>269</v>
      </c>
      <c r="B202" s="11" t="s">
        <v>27</v>
      </c>
      <c r="C202" s="10" t="s">
        <v>270</v>
      </c>
      <c r="D202" s="12" t="n">
        <v>5.84</v>
      </c>
      <c r="E202" s="12" t="n">
        <v>36.34</v>
      </c>
      <c r="F202" s="12" t="n">
        <f aca="false">E202-D202</f>
        <v>30.5</v>
      </c>
      <c r="G202" s="13" t="n">
        <f aca="false">IFERROR(F202/E202,"")</f>
        <v>0.839295542102367</v>
      </c>
      <c r="H202" s="12" t="n">
        <v>23.43</v>
      </c>
      <c r="I202" s="12" t="n">
        <f aca="false">H202-D202</f>
        <v>17.59</v>
      </c>
      <c r="J202" s="13" t="n">
        <f aca="false">IFERROR(I202/H202,"")</f>
        <v>0.750746905676483</v>
      </c>
      <c r="K202" s="12" t="n">
        <v>14.54</v>
      </c>
      <c r="L202" s="12" t="n">
        <f aca="false">K202-D202</f>
        <v>8.7</v>
      </c>
      <c r="M202" s="13" t="n">
        <f aca="false">IFERROR(L202/K202,"")</f>
        <v>0.598349381017882</v>
      </c>
      <c r="N202" s="12" t="n">
        <v>14.24</v>
      </c>
      <c r="O202" s="12" t="n">
        <f aca="false">N202-D202</f>
        <v>8.4</v>
      </c>
      <c r="P202" s="13" t="n">
        <f aca="false">IFERROR(O202/N202,"")</f>
        <v>0.589887640449438</v>
      </c>
      <c r="Q202" s="12" t="n">
        <v>13.71</v>
      </c>
      <c r="R202" s="12" t="n">
        <f aca="false">Q202-D202</f>
        <v>7.87</v>
      </c>
      <c r="S202" s="13" t="n">
        <f aca="false">IFERROR(R202/Q202,"")</f>
        <v>0.574033552151714</v>
      </c>
    </row>
    <row r="203" customFormat="false" ht="15" hidden="false" customHeight="false" outlineLevel="0" collapsed="false">
      <c r="A203" s="6" t="s">
        <v>271</v>
      </c>
      <c r="B203" s="7" t="s">
        <v>27</v>
      </c>
      <c r="C203" s="6" t="s">
        <v>272</v>
      </c>
      <c r="D203" s="8" t="n">
        <v>6.06</v>
      </c>
      <c r="E203" s="8" t="n">
        <v>36.95</v>
      </c>
      <c r="F203" s="8" t="n">
        <f aca="false">E203-D203</f>
        <v>30.89</v>
      </c>
      <c r="G203" s="9" t="n">
        <f aca="false">IFERROR(F203/E203,"")</f>
        <v>0.835994587280108</v>
      </c>
      <c r="H203" s="8" t="n">
        <v>23.82</v>
      </c>
      <c r="I203" s="8" t="n">
        <f aca="false">H203-D203</f>
        <v>17.76</v>
      </c>
      <c r="J203" s="9" t="n">
        <f aca="false">IFERROR(I203/H203,"")</f>
        <v>0.7455919395466</v>
      </c>
      <c r="K203" s="8" t="n">
        <v>14.71</v>
      </c>
      <c r="L203" s="8" t="n">
        <f aca="false">K203-D203</f>
        <v>8.65</v>
      </c>
      <c r="M203" s="9" t="n">
        <f aca="false">IFERROR(L203/K203,"")</f>
        <v>0.588035350101972</v>
      </c>
      <c r="N203" s="8" t="n">
        <v>14.45</v>
      </c>
      <c r="O203" s="8" t="n">
        <f aca="false">N203-D203</f>
        <v>8.39</v>
      </c>
      <c r="P203" s="9" t="n">
        <f aca="false">IFERROR(O203/N203,"")</f>
        <v>0.580622837370242</v>
      </c>
      <c r="Q203" s="8" t="n">
        <v>13.91</v>
      </c>
      <c r="R203" s="8" t="n">
        <f aca="false">Q203-D203</f>
        <v>7.85</v>
      </c>
      <c r="S203" s="9" t="n">
        <f aca="false">IFERROR(R203/Q203,"")</f>
        <v>0.564342199856219</v>
      </c>
    </row>
    <row r="204" customFormat="false" ht="15" hidden="false" customHeight="false" outlineLevel="0" collapsed="false">
      <c r="A204" s="10" t="s">
        <v>273</v>
      </c>
      <c r="B204" s="11" t="s">
        <v>27</v>
      </c>
      <c r="C204" s="10" t="s">
        <v>274</v>
      </c>
      <c r="D204" s="12" t="n">
        <v>6.06</v>
      </c>
      <c r="E204" s="12" t="n">
        <v>48.58</v>
      </c>
      <c r="F204" s="12" t="n">
        <f aca="false">E204-D204</f>
        <v>42.52</v>
      </c>
      <c r="G204" s="13" t="n">
        <f aca="false">IFERROR(F204/E204,"")</f>
        <v>0.875257307533965</v>
      </c>
      <c r="H204" s="12" t="n">
        <v>38.12</v>
      </c>
      <c r="I204" s="12" t="n">
        <f aca="false">H204-D204</f>
        <v>32.06</v>
      </c>
      <c r="J204" s="13" t="n">
        <f aca="false">IFERROR(I204/H204,"")</f>
        <v>0.84102833158447</v>
      </c>
      <c r="K204" s="12" t="n">
        <v>20.42</v>
      </c>
      <c r="L204" s="12" t="n">
        <f aca="false">K204-D204</f>
        <v>14.36</v>
      </c>
      <c r="M204" s="13" t="n">
        <f aca="false">IFERROR(L204/K204,"")</f>
        <v>0.703232125367287</v>
      </c>
      <c r="N204" s="12" t="n">
        <v>18.57</v>
      </c>
      <c r="O204" s="12" t="n">
        <f aca="false">N204-D204</f>
        <v>12.51</v>
      </c>
      <c r="P204" s="13" t="n">
        <f aca="false">IFERROR(O204/N204,"")</f>
        <v>0.673667205169629</v>
      </c>
      <c r="Q204" s="12" t="n">
        <v>17.87</v>
      </c>
      <c r="R204" s="12" t="n">
        <f aca="false">Q204-D204</f>
        <v>11.81</v>
      </c>
      <c r="S204" s="13" t="n">
        <f aca="false">IFERROR(R204/Q204,"")</f>
        <v>0.66088416340235</v>
      </c>
    </row>
    <row r="205" customFormat="false" ht="15" hidden="false" customHeight="false" outlineLevel="0" collapsed="false">
      <c r="A205" s="6" t="s">
        <v>275</v>
      </c>
      <c r="B205" s="7" t="s">
        <v>27</v>
      </c>
      <c r="C205" s="6" t="s">
        <v>276</v>
      </c>
      <c r="D205" s="8" t="n">
        <v>6.06</v>
      </c>
      <c r="E205" s="8" t="n">
        <v>39.69</v>
      </c>
      <c r="F205" s="8" t="n">
        <f aca="false">E205-D205</f>
        <v>33.63</v>
      </c>
      <c r="G205" s="9" t="n">
        <f aca="false">IFERROR(F205/E205,"")</f>
        <v>0.847316704459562</v>
      </c>
      <c r="H205" s="8" t="n">
        <v>25.74</v>
      </c>
      <c r="I205" s="8" t="n">
        <f aca="false">H205-D205</f>
        <v>19.68</v>
      </c>
      <c r="J205" s="9" t="n">
        <f aca="false">IFERROR(I205/H205,"")</f>
        <v>0.764568764568765</v>
      </c>
      <c r="K205" s="8" t="n">
        <v>17.7</v>
      </c>
      <c r="L205" s="8" t="n">
        <f aca="false">K205-D205</f>
        <v>11.64</v>
      </c>
      <c r="M205" s="9" t="n">
        <f aca="false">IFERROR(L205/K205,"")</f>
        <v>0.657627118644068</v>
      </c>
      <c r="N205" s="8" t="n">
        <v>15.92</v>
      </c>
      <c r="O205" s="8" t="n">
        <f aca="false">N205-D205</f>
        <v>9.86</v>
      </c>
      <c r="P205" s="9" t="n">
        <f aca="false">IFERROR(O205/N205,"")</f>
        <v>0.619346733668342</v>
      </c>
      <c r="Q205" s="8" t="n">
        <v>15.34</v>
      </c>
      <c r="R205" s="8" t="n">
        <f aca="false">Q205-D205</f>
        <v>9.28</v>
      </c>
      <c r="S205" s="9" t="n">
        <f aca="false">IFERROR(R205/Q205,"")</f>
        <v>0.604954367666232</v>
      </c>
    </row>
    <row r="206" customFormat="false" ht="15" hidden="false" customHeight="false" outlineLevel="0" collapsed="false">
      <c r="A206" s="10" t="s">
        <v>277</v>
      </c>
      <c r="B206" s="11" t="s">
        <v>27</v>
      </c>
      <c r="C206" s="10" t="s">
        <v>278</v>
      </c>
      <c r="D206" s="12" t="n">
        <v>6.17</v>
      </c>
      <c r="E206" s="12" t="n">
        <v>36.12</v>
      </c>
      <c r="F206" s="12" t="n">
        <f aca="false">E206-D206</f>
        <v>29.95</v>
      </c>
      <c r="G206" s="13" t="n">
        <f aca="false">IFERROR(F206/E206,"")</f>
        <v>0.829180509413068</v>
      </c>
      <c r="H206" s="12" t="n">
        <v>23.29</v>
      </c>
      <c r="I206" s="12" t="n">
        <f aca="false">H206-D206</f>
        <v>17.12</v>
      </c>
      <c r="J206" s="13" t="n">
        <f aca="false">IFERROR(I206/H206,"")</f>
        <v>0.735079433233147</v>
      </c>
      <c r="K206" s="12" t="n">
        <v>14.49</v>
      </c>
      <c r="L206" s="12" t="n">
        <f aca="false">K206-D206</f>
        <v>8.32</v>
      </c>
      <c r="M206" s="13" t="n">
        <f aca="false">IFERROR(L206/K206,"")</f>
        <v>0.574189095928226</v>
      </c>
      <c r="N206" s="12" t="n">
        <v>14.12</v>
      </c>
      <c r="O206" s="12" t="n">
        <f aca="false">N206-D206</f>
        <v>7.95</v>
      </c>
      <c r="P206" s="13" t="n">
        <f aca="false">IFERROR(O206/N206,"")</f>
        <v>0.563031161473088</v>
      </c>
      <c r="Q206" s="12" t="n">
        <v>13.6</v>
      </c>
      <c r="R206" s="12" t="n">
        <f aca="false">Q206-D206</f>
        <v>7.43</v>
      </c>
      <c r="S206" s="13" t="n">
        <f aca="false">IFERROR(R206/Q206,"")</f>
        <v>0.546323529411765</v>
      </c>
    </row>
    <row r="207" customFormat="false" ht="15" hidden="false" customHeight="false" outlineLevel="0" collapsed="false">
      <c r="A207" s="6" t="s">
        <v>279</v>
      </c>
      <c r="B207" s="7" t="s">
        <v>27</v>
      </c>
      <c r="C207" s="6" t="s">
        <v>280</v>
      </c>
      <c r="D207" s="8" t="n">
        <v>6.17</v>
      </c>
      <c r="E207" s="8" t="n">
        <v>39.69</v>
      </c>
      <c r="F207" s="8" t="n">
        <f aca="false">E207-D207</f>
        <v>33.52</v>
      </c>
      <c r="G207" s="9" t="n">
        <f aca="false">IFERROR(F207/E207,"")</f>
        <v>0.844545225497606</v>
      </c>
      <c r="H207" s="8" t="n">
        <v>25.74</v>
      </c>
      <c r="I207" s="8" t="n">
        <f aca="false">H207-D207</f>
        <v>19.57</v>
      </c>
      <c r="J207" s="9" t="n">
        <f aca="false">IFERROR(I207/H207,"")</f>
        <v>0.76029526029526</v>
      </c>
      <c r="K207" s="8" t="n">
        <v>17.53</v>
      </c>
      <c r="L207" s="8" t="n">
        <f aca="false">K207-D207</f>
        <v>11.36</v>
      </c>
      <c r="M207" s="9" t="n">
        <f aca="false">IFERROR(L207/K207,"")</f>
        <v>0.648031945236737</v>
      </c>
      <c r="N207" s="8" t="n">
        <v>15.92</v>
      </c>
      <c r="O207" s="8" t="n">
        <f aca="false">N207-D207</f>
        <v>9.75</v>
      </c>
      <c r="P207" s="9" t="n">
        <f aca="false">IFERROR(O207/N207,"")</f>
        <v>0.612437185929648</v>
      </c>
      <c r="Q207" s="8" t="n">
        <v>15.34</v>
      </c>
      <c r="R207" s="8" t="n">
        <f aca="false">Q207-D207</f>
        <v>9.17</v>
      </c>
      <c r="S207" s="9" t="n">
        <f aca="false">IFERROR(R207/Q207,"")</f>
        <v>0.597783572359844</v>
      </c>
    </row>
    <row r="208" customFormat="false" ht="15" hidden="false" customHeight="false" outlineLevel="0" collapsed="false">
      <c r="A208" s="10" t="s">
        <v>281</v>
      </c>
      <c r="B208" s="11" t="s">
        <v>27</v>
      </c>
      <c r="C208" s="10" t="s">
        <v>282</v>
      </c>
      <c r="D208" s="12" t="n">
        <v>6.17</v>
      </c>
      <c r="E208" s="12" t="n">
        <v>37.16</v>
      </c>
      <c r="F208" s="12" t="n">
        <f aca="false">E208-D208</f>
        <v>30.99</v>
      </c>
      <c r="G208" s="13" t="n">
        <f aca="false">IFERROR(F208/E208,"")</f>
        <v>0.833961248654467</v>
      </c>
      <c r="H208" s="12" t="n">
        <v>23.97</v>
      </c>
      <c r="I208" s="12" t="n">
        <f aca="false">H208-D208</f>
        <v>17.8</v>
      </c>
      <c r="J208" s="13" t="n">
        <f aca="false">IFERROR(I208/H208,"")</f>
        <v>0.742594910304547</v>
      </c>
      <c r="K208" s="12" t="n">
        <v>14.82</v>
      </c>
      <c r="L208" s="12" t="n">
        <f aca="false">K208-D208</f>
        <v>8.65</v>
      </c>
      <c r="M208" s="13" t="n">
        <f aca="false">IFERROR(L208/K208,"")</f>
        <v>0.583670715249663</v>
      </c>
      <c r="N208" s="12" t="n">
        <v>14.56</v>
      </c>
      <c r="O208" s="12" t="n">
        <f aca="false">N208-D208</f>
        <v>8.39</v>
      </c>
      <c r="P208" s="13" t="n">
        <f aca="false">IFERROR(O208/N208,"")</f>
        <v>0.576236263736264</v>
      </c>
      <c r="Q208" s="12" t="n">
        <v>14.02</v>
      </c>
      <c r="R208" s="12" t="n">
        <f aca="false">Q208-D208</f>
        <v>7.85</v>
      </c>
      <c r="S208" s="13" t="n">
        <f aca="false">IFERROR(R208/Q208,"")</f>
        <v>0.559914407988588</v>
      </c>
    </row>
    <row r="209" customFormat="false" ht="15" hidden="false" customHeight="false" outlineLevel="0" collapsed="false">
      <c r="A209" s="6" t="s">
        <v>283</v>
      </c>
      <c r="B209" s="7" t="s">
        <v>27</v>
      </c>
      <c r="C209" s="6" t="s">
        <v>284</v>
      </c>
      <c r="D209" s="8" t="n">
        <v>6.17</v>
      </c>
      <c r="E209" s="8" t="n">
        <v>36.95</v>
      </c>
      <c r="F209" s="8" t="n">
        <f aca="false">E209-D209</f>
        <v>30.78</v>
      </c>
      <c r="G209" s="9" t="n">
        <f aca="false">IFERROR(F209/E209,"")</f>
        <v>0.833017591339648</v>
      </c>
      <c r="H209" s="8" t="n">
        <v>23.82</v>
      </c>
      <c r="I209" s="8" t="n">
        <f aca="false">H209-D209</f>
        <v>17.65</v>
      </c>
      <c r="J209" s="9" t="n">
        <f aca="false">IFERROR(I209/H209,"")</f>
        <v>0.740973971452561</v>
      </c>
      <c r="K209" s="8" t="n">
        <v>16.05</v>
      </c>
      <c r="L209" s="8" t="n">
        <f aca="false">K209-D209</f>
        <v>9.88</v>
      </c>
      <c r="M209" s="9" t="n">
        <f aca="false">IFERROR(L209/K209,"")</f>
        <v>0.615576323987539</v>
      </c>
      <c r="N209" s="8" t="n">
        <v>14.45</v>
      </c>
      <c r="O209" s="8" t="n">
        <f aca="false">N209-D209</f>
        <v>8.28</v>
      </c>
      <c r="P209" s="9" t="n">
        <f aca="false">IFERROR(O209/N209,"")</f>
        <v>0.573010380622837</v>
      </c>
      <c r="Q209" s="8" t="n">
        <v>13.91</v>
      </c>
      <c r="R209" s="8" t="n">
        <f aca="false">Q209-D209</f>
        <v>7.74</v>
      </c>
      <c r="S209" s="9" t="n">
        <f aca="false">IFERROR(R209/Q209,"")</f>
        <v>0.556434219985622</v>
      </c>
    </row>
    <row r="210" customFormat="false" ht="15" hidden="false" customHeight="false" outlineLevel="0" collapsed="false">
      <c r="A210" s="10" t="s">
        <v>285</v>
      </c>
      <c r="B210" s="11" t="s">
        <v>27</v>
      </c>
      <c r="C210" s="10" t="s">
        <v>286</v>
      </c>
      <c r="D210" s="12" t="n">
        <v>6.17</v>
      </c>
      <c r="E210" s="12" t="n">
        <v>39.63</v>
      </c>
      <c r="F210" s="12" t="n">
        <f aca="false">E210-D210</f>
        <v>33.46</v>
      </c>
      <c r="G210" s="13" t="n">
        <f aca="false">IFERROR(F210/E210,"")</f>
        <v>0.844309866262932</v>
      </c>
      <c r="H210" s="12" t="n">
        <v>25.71</v>
      </c>
      <c r="I210" s="12" t="n">
        <f aca="false">H210-D210</f>
        <v>19.54</v>
      </c>
      <c r="J210" s="13" t="n">
        <f aca="false">IFERROR(I210/H210,"")</f>
        <v>0.76001555814858</v>
      </c>
      <c r="K210" s="12" t="n">
        <v>14.57</v>
      </c>
      <c r="L210" s="12" t="n">
        <f aca="false">K210-D210</f>
        <v>8.4</v>
      </c>
      <c r="M210" s="13" t="n">
        <f aca="false">IFERROR(L210/K210,"")</f>
        <v>0.57652711050103</v>
      </c>
      <c r="N210" s="12" t="n">
        <v>15.89</v>
      </c>
      <c r="O210" s="12" t="n">
        <f aca="false">N210-D210</f>
        <v>9.72</v>
      </c>
      <c r="P210" s="13" t="n">
        <f aca="false">IFERROR(O210/N210,"")</f>
        <v>0.611705475141599</v>
      </c>
      <c r="Q210" s="12" t="n">
        <v>15.3</v>
      </c>
      <c r="R210" s="12" t="n">
        <f aca="false">Q210-D210</f>
        <v>9.13</v>
      </c>
      <c r="S210" s="13" t="n">
        <f aca="false">IFERROR(R210/Q210,"")</f>
        <v>0.596732026143791</v>
      </c>
    </row>
    <row r="211" customFormat="false" ht="15" hidden="false" customHeight="false" outlineLevel="0" collapsed="false">
      <c r="A211" s="6" t="s">
        <v>287</v>
      </c>
      <c r="B211" s="7" t="s">
        <v>27</v>
      </c>
      <c r="C211" s="6" t="s">
        <v>288</v>
      </c>
      <c r="D211" s="8" t="n">
        <v>6.17</v>
      </c>
      <c r="E211" s="8" t="n">
        <v>36.95</v>
      </c>
      <c r="F211" s="8" t="n">
        <f aca="false">E211-D211</f>
        <v>30.78</v>
      </c>
      <c r="G211" s="9" t="n">
        <f aca="false">IFERROR(F211/E211,"")</f>
        <v>0.833017591339648</v>
      </c>
      <c r="H211" s="8" t="n">
        <v>23.82</v>
      </c>
      <c r="I211" s="8" t="n">
        <f aca="false">H211-D211</f>
        <v>17.65</v>
      </c>
      <c r="J211" s="9" t="n">
        <f aca="false">IFERROR(I211/H211,"")</f>
        <v>0.740973971452561</v>
      </c>
      <c r="K211" s="8" t="n">
        <v>14.71</v>
      </c>
      <c r="L211" s="8" t="n">
        <f aca="false">K211-D211</f>
        <v>8.54</v>
      </c>
      <c r="M211" s="9" t="n">
        <f aca="false">IFERROR(L211/K211,"")</f>
        <v>0.580557443915704</v>
      </c>
      <c r="N211" s="8" t="n">
        <v>14.45</v>
      </c>
      <c r="O211" s="8" t="n">
        <f aca="false">N211-D211</f>
        <v>8.28</v>
      </c>
      <c r="P211" s="9" t="n">
        <f aca="false">IFERROR(O211/N211,"")</f>
        <v>0.573010380622837</v>
      </c>
      <c r="Q211" s="8" t="n">
        <v>13.91</v>
      </c>
      <c r="R211" s="8" t="n">
        <f aca="false">Q211-D211</f>
        <v>7.74</v>
      </c>
      <c r="S211" s="9" t="n">
        <f aca="false">IFERROR(R211/Q211,"")</f>
        <v>0.556434219985622</v>
      </c>
    </row>
    <row r="212" customFormat="false" ht="15" hidden="false" customHeight="false" outlineLevel="0" collapsed="false">
      <c r="A212" s="10" t="s">
        <v>289</v>
      </c>
      <c r="B212" s="11" t="s">
        <v>27</v>
      </c>
      <c r="C212" s="10" t="s">
        <v>290</v>
      </c>
      <c r="D212" s="12" t="n">
        <v>6.17</v>
      </c>
      <c r="E212" s="12" t="n">
        <v>39.63</v>
      </c>
      <c r="F212" s="12" t="n">
        <f aca="false">E212-D212</f>
        <v>33.46</v>
      </c>
      <c r="G212" s="13" t="n">
        <f aca="false">IFERROR(F212/E212,"")</f>
        <v>0.844309866262932</v>
      </c>
      <c r="H212" s="12" t="n">
        <v>25.71</v>
      </c>
      <c r="I212" s="12" t="n">
        <f aca="false">H212-D212</f>
        <v>19.54</v>
      </c>
      <c r="J212" s="13" t="n">
        <f aca="false">IFERROR(I212/H212,"")</f>
        <v>0.76001555814858</v>
      </c>
      <c r="K212" s="12" t="n">
        <v>16.19</v>
      </c>
      <c r="L212" s="12" t="n">
        <f aca="false">K212-D212</f>
        <v>10.02</v>
      </c>
      <c r="M212" s="13" t="n">
        <f aca="false">IFERROR(L212/K212,"")</f>
        <v>0.618900555898703</v>
      </c>
      <c r="N212" s="12" t="n">
        <v>15.89</v>
      </c>
      <c r="O212" s="12" t="n">
        <f aca="false">N212-D212</f>
        <v>9.72</v>
      </c>
      <c r="P212" s="13" t="n">
        <f aca="false">IFERROR(O212/N212,"")</f>
        <v>0.611705475141599</v>
      </c>
      <c r="Q212" s="12" t="n">
        <v>15.3</v>
      </c>
      <c r="R212" s="12" t="n">
        <f aca="false">Q212-D212</f>
        <v>9.13</v>
      </c>
      <c r="S212" s="13" t="n">
        <f aca="false">IFERROR(R212/Q212,"")</f>
        <v>0.596732026143791</v>
      </c>
    </row>
    <row r="213" customFormat="false" ht="15" hidden="false" customHeight="false" outlineLevel="0" collapsed="false">
      <c r="A213" s="6" t="s">
        <v>291</v>
      </c>
      <c r="B213" s="7" t="s">
        <v>27</v>
      </c>
      <c r="C213" s="6" t="s">
        <v>292</v>
      </c>
      <c r="D213" s="8" t="n">
        <v>6.17</v>
      </c>
      <c r="E213" s="8" t="n">
        <v>27.2</v>
      </c>
      <c r="F213" s="8" t="n">
        <f aca="false">E213-D213</f>
        <v>21.03</v>
      </c>
      <c r="G213" s="9" t="n">
        <f aca="false">IFERROR(F213/E213,"")</f>
        <v>0.773161764705882</v>
      </c>
      <c r="H213" s="8" t="n">
        <v>17.85</v>
      </c>
      <c r="I213" s="8" t="n">
        <f aca="false">H213-D213</f>
        <v>11.68</v>
      </c>
      <c r="J213" s="9" t="n">
        <f aca="false">IFERROR(I213/H213,"")</f>
        <v>0.654341736694678</v>
      </c>
      <c r="K213" s="8" t="n">
        <v>10.09</v>
      </c>
      <c r="L213" s="8" t="n">
        <f aca="false">K213-D213</f>
        <v>3.92</v>
      </c>
      <c r="M213" s="9" t="n">
        <f aca="false">IFERROR(L213/K213,"")</f>
        <v>0.388503468780971</v>
      </c>
      <c r="N213" s="8" t="n">
        <v>9.18</v>
      </c>
      <c r="O213" s="8" t="n">
        <f aca="false">N213-D213</f>
        <v>3.01</v>
      </c>
      <c r="P213" s="9" t="n">
        <f aca="false">IFERROR(O213/N213,"")</f>
        <v>0.327886710239651</v>
      </c>
      <c r="Q213" s="8" t="n">
        <v>8.84</v>
      </c>
      <c r="R213" s="8" t="n">
        <f aca="false">Q213-D213</f>
        <v>2.67</v>
      </c>
      <c r="S213" s="9" t="n">
        <f aca="false">IFERROR(R213/Q213,"")</f>
        <v>0.302036199095023</v>
      </c>
    </row>
    <row r="214" customFormat="false" ht="15" hidden="false" customHeight="false" outlineLevel="0" collapsed="false">
      <c r="A214" s="10" t="s">
        <v>293</v>
      </c>
      <c r="B214" s="11" t="s">
        <v>27</v>
      </c>
      <c r="C214" s="10" t="s">
        <v>294</v>
      </c>
      <c r="D214" s="12" t="n">
        <v>3.72</v>
      </c>
      <c r="E214" s="12" t="n">
        <v>29.02</v>
      </c>
      <c r="F214" s="12" t="n">
        <f aca="false">E214-D214</f>
        <v>25.3</v>
      </c>
      <c r="G214" s="13" t="n">
        <f aca="false">IFERROR(F214/E214,"")</f>
        <v>0.871812543073742</v>
      </c>
      <c r="H214" s="12" t="n">
        <v>14.4</v>
      </c>
      <c r="I214" s="12" t="n">
        <f aca="false">H214-D214</f>
        <v>10.68</v>
      </c>
      <c r="J214" s="13" t="n">
        <f aca="false">IFERROR(I214/H214,"")</f>
        <v>0.741666666666667</v>
      </c>
      <c r="K214" s="12" t="n">
        <v>10.13</v>
      </c>
      <c r="L214" s="12" t="n">
        <f aca="false">K214-D214</f>
        <v>6.41</v>
      </c>
      <c r="M214" s="13" t="n">
        <f aca="false">IFERROR(L214/K214,"")</f>
        <v>0.632773938795657</v>
      </c>
      <c r="N214" s="12" t="n">
        <v>8.5</v>
      </c>
      <c r="O214" s="12" t="n">
        <f aca="false">N214-D214</f>
        <v>4.78</v>
      </c>
      <c r="P214" s="13" t="n">
        <f aca="false">IFERROR(O214/N214,"")</f>
        <v>0.562352941176471</v>
      </c>
      <c r="Q214" s="12" t="n">
        <v>8.43</v>
      </c>
      <c r="R214" s="12" t="n">
        <f aca="false">Q214-D214</f>
        <v>4.71</v>
      </c>
      <c r="S214" s="13" t="n">
        <f aca="false">IFERROR(R214/Q214,"")</f>
        <v>0.558718861209964</v>
      </c>
    </row>
    <row r="215" customFormat="false" ht="15" hidden="false" customHeight="false" outlineLevel="0" collapsed="false">
      <c r="A215" s="6" t="s">
        <v>295</v>
      </c>
      <c r="B215" s="7" t="s">
        <v>27</v>
      </c>
      <c r="C215" s="6" t="s">
        <v>296</v>
      </c>
      <c r="D215" s="8" t="n">
        <v>3.09</v>
      </c>
      <c r="E215" s="8" t="n">
        <v>26.32</v>
      </c>
      <c r="F215" s="8" t="n">
        <f aca="false">E215-D215</f>
        <v>23.23</v>
      </c>
      <c r="G215" s="9" t="n">
        <f aca="false">IFERROR(F215/E215,"")</f>
        <v>0.882598784194529</v>
      </c>
      <c r="H215" s="8" t="n">
        <v>16.44</v>
      </c>
      <c r="I215" s="8" t="n">
        <f aca="false">H215-D215</f>
        <v>13.35</v>
      </c>
      <c r="J215" s="9" t="n">
        <f aca="false">IFERROR(I215/H215,"")</f>
        <v>0.812043795620438</v>
      </c>
      <c r="K215" s="8" t="n">
        <v>11.11</v>
      </c>
      <c r="L215" s="8" t="n">
        <f aca="false">K215-D215</f>
        <v>8.02</v>
      </c>
      <c r="M215" s="9" t="n">
        <f aca="false">IFERROR(L215/K215,"")</f>
        <v>0.721872187218722</v>
      </c>
      <c r="N215" s="8" t="n">
        <v>9.29</v>
      </c>
      <c r="O215" s="8" t="n">
        <f aca="false">N215-D215</f>
        <v>6.2</v>
      </c>
      <c r="P215" s="9" t="n">
        <f aca="false">IFERROR(O215/N215,"")</f>
        <v>0.667384284176534</v>
      </c>
      <c r="Q215" s="8" t="n">
        <v>9.28</v>
      </c>
      <c r="R215" s="8" t="n">
        <f aca="false">Q215-D215</f>
        <v>6.19</v>
      </c>
      <c r="S215" s="9" t="n">
        <f aca="false">IFERROR(R215/Q215,"")</f>
        <v>0.667025862068966</v>
      </c>
    </row>
    <row r="216" customFormat="false" ht="15" hidden="false" customHeight="false" outlineLevel="0" collapsed="false">
      <c r="A216" s="10" t="s">
        <v>295</v>
      </c>
      <c r="B216" s="11" t="s">
        <v>23</v>
      </c>
      <c r="C216" s="10" t="s">
        <v>296</v>
      </c>
      <c r="D216" s="12" t="n">
        <v>3.22</v>
      </c>
      <c r="E216" s="12" t="n">
        <v>28.52</v>
      </c>
      <c r="F216" s="12" t="n">
        <f aca="false">E216-D216</f>
        <v>25.3</v>
      </c>
      <c r="G216" s="13" t="n">
        <f aca="false">IFERROR(F216/E216,"")</f>
        <v>0.887096774193548</v>
      </c>
      <c r="H216" s="12" t="n">
        <v>17.72</v>
      </c>
      <c r="I216" s="12" t="n">
        <f aca="false">H216-D216</f>
        <v>14.5</v>
      </c>
      <c r="J216" s="13" t="n">
        <f aca="false">IFERROR(I216/H216,"")</f>
        <v>0.818284424379232</v>
      </c>
      <c r="K216" s="12" t="n">
        <v>13.25</v>
      </c>
      <c r="L216" s="12" t="n">
        <f aca="false">K216-D216</f>
        <v>10.03</v>
      </c>
      <c r="M216" s="13" t="n">
        <f aca="false">IFERROR(L216/K216,"")</f>
        <v>0.756981132075472</v>
      </c>
      <c r="N216" s="12" t="n">
        <v>10.26</v>
      </c>
      <c r="O216" s="12" t="n">
        <f aca="false">N216-D216</f>
        <v>7.04</v>
      </c>
      <c r="P216" s="13" t="n">
        <f aca="false">IFERROR(O216/N216,"")</f>
        <v>0.686159844054581</v>
      </c>
      <c r="Q216" s="12" t="n">
        <v>10.25</v>
      </c>
      <c r="R216" s="12" t="n">
        <f aca="false">Q216-D216</f>
        <v>7.03</v>
      </c>
      <c r="S216" s="13" t="n">
        <f aca="false">IFERROR(R216/Q216,"")</f>
        <v>0.685853658536585</v>
      </c>
    </row>
    <row r="217" customFormat="false" ht="15" hidden="false" customHeight="false" outlineLevel="0" collapsed="false">
      <c r="A217" s="6" t="s">
        <v>295</v>
      </c>
      <c r="B217" s="7" t="s">
        <v>25</v>
      </c>
      <c r="C217" s="6" t="s">
        <v>296</v>
      </c>
      <c r="D217" s="8" t="n">
        <v>3.54</v>
      </c>
      <c r="E217" s="8" t="n">
        <v>35.7</v>
      </c>
      <c r="F217" s="8" t="n">
        <f aca="false">E217-D217</f>
        <v>32.16</v>
      </c>
      <c r="G217" s="9" t="n">
        <f aca="false">IFERROR(F217/E217,"")</f>
        <v>0.900840336134454</v>
      </c>
      <c r="H217" s="8" t="n">
        <v>22.1</v>
      </c>
      <c r="I217" s="8" t="n">
        <f aca="false">H217-D217</f>
        <v>18.56</v>
      </c>
      <c r="J217" s="9" t="n">
        <f aca="false">IFERROR(I217/H217,"")</f>
        <v>0.839819004524887</v>
      </c>
      <c r="K217" s="8" t="n">
        <v>17.8</v>
      </c>
      <c r="L217" s="8" t="n">
        <f aca="false">K217-D217</f>
        <v>14.26</v>
      </c>
      <c r="M217" s="9" t="n">
        <f aca="false">IFERROR(L217/K217,"")</f>
        <v>0.801123595505618</v>
      </c>
      <c r="N217" s="8" t="n">
        <v>14.11</v>
      </c>
      <c r="O217" s="8" t="n">
        <f aca="false">N217-D217</f>
        <v>10.57</v>
      </c>
      <c r="P217" s="9" t="n">
        <f aca="false">IFERROR(O217/N217,"")</f>
        <v>0.749114103472715</v>
      </c>
      <c r="Q217" s="8" t="n">
        <v>11.3</v>
      </c>
      <c r="R217" s="8" t="n">
        <f aca="false">Q217-D217</f>
        <v>7.76</v>
      </c>
      <c r="S217" s="9" t="n">
        <f aca="false">IFERROR(R217/Q217,"")</f>
        <v>0.686725663716814</v>
      </c>
    </row>
    <row r="218" customFormat="false" ht="15" hidden="false" customHeight="false" outlineLevel="0" collapsed="false">
      <c r="A218" s="10" t="s">
        <v>297</v>
      </c>
      <c r="B218" s="11" t="s">
        <v>27</v>
      </c>
      <c r="C218" s="10" t="s">
        <v>298</v>
      </c>
      <c r="D218" s="12" t="n">
        <v>3.76</v>
      </c>
      <c r="E218" s="12" t="n">
        <v>29.14</v>
      </c>
      <c r="F218" s="12" t="n">
        <f aca="false">E218-D218</f>
        <v>25.38</v>
      </c>
      <c r="G218" s="13" t="n">
        <f aca="false">IFERROR(F218/E218,"")</f>
        <v>0.870967741935484</v>
      </c>
      <c r="H218" s="12" t="n">
        <v>15.43</v>
      </c>
      <c r="I218" s="12" t="n">
        <f aca="false">H218-D218</f>
        <v>11.67</v>
      </c>
      <c r="J218" s="13" t="n">
        <f aca="false">IFERROR(I218/H218,"")</f>
        <v>0.756318859364874</v>
      </c>
      <c r="K218" s="12" t="n">
        <v>13.01</v>
      </c>
      <c r="L218" s="12" t="n">
        <f aca="false">K218-D218</f>
        <v>9.25</v>
      </c>
      <c r="M218" s="13" t="n">
        <f aca="false">IFERROR(L218/K218,"")</f>
        <v>0.710991544965411</v>
      </c>
      <c r="N218" s="12" t="n">
        <v>10.62</v>
      </c>
      <c r="O218" s="12" t="n">
        <f aca="false">N218-D218</f>
        <v>6.86</v>
      </c>
      <c r="P218" s="13" t="n">
        <f aca="false">IFERROR(O218/N218,"")</f>
        <v>0.645951035781544</v>
      </c>
      <c r="Q218" s="12" t="n">
        <v>9.99</v>
      </c>
      <c r="R218" s="12" t="n">
        <f aca="false">Q218-D218</f>
        <v>6.23</v>
      </c>
      <c r="S218" s="13" t="n">
        <f aca="false">IFERROR(R218/Q218,"")</f>
        <v>0.623623623623624</v>
      </c>
    </row>
    <row r="219" customFormat="false" ht="15" hidden="false" customHeight="false" outlineLevel="0" collapsed="false">
      <c r="A219" s="6" t="s">
        <v>299</v>
      </c>
      <c r="B219" s="7" t="s">
        <v>27</v>
      </c>
      <c r="C219" s="6" t="s">
        <v>300</v>
      </c>
      <c r="D219" s="8" t="n">
        <v>6.17</v>
      </c>
      <c r="E219" s="8" t="n">
        <v>36.95</v>
      </c>
      <c r="F219" s="8" t="n">
        <f aca="false">E219-D219</f>
        <v>30.78</v>
      </c>
      <c r="G219" s="9" t="n">
        <f aca="false">IFERROR(F219/E219,"")</f>
        <v>0.833017591339648</v>
      </c>
      <c r="H219" s="8" t="n">
        <v>23.82</v>
      </c>
      <c r="I219" s="8" t="n">
        <f aca="false">H219-D219</f>
        <v>17.65</v>
      </c>
      <c r="J219" s="9" t="n">
        <f aca="false">IFERROR(I219/H219,"")</f>
        <v>0.740973971452561</v>
      </c>
      <c r="K219" s="8" t="n">
        <v>15.89</v>
      </c>
      <c r="L219" s="8" t="n">
        <f aca="false">K219-D219</f>
        <v>9.72</v>
      </c>
      <c r="M219" s="9" t="n">
        <f aca="false">IFERROR(L219/K219,"")</f>
        <v>0.611705475141599</v>
      </c>
      <c r="N219" s="8" t="n">
        <v>14.45</v>
      </c>
      <c r="O219" s="8" t="n">
        <f aca="false">N219-D219</f>
        <v>8.28</v>
      </c>
      <c r="P219" s="9" t="n">
        <f aca="false">IFERROR(O219/N219,"")</f>
        <v>0.573010380622837</v>
      </c>
      <c r="Q219" s="8" t="n">
        <v>13.91</v>
      </c>
      <c r="R219" s="8" t="n">
        <f aca="false">Q219-D219</f>
        <v>7.74</v>
      </c>
      <c r="S219" s="9" t="n">
        <f aca="false">IFERROR(R219/Q219,"")</f>
        <v>0.556434219985622</v>
      </c>
    </row>
    <row r="220" customFormat="false" ht="15" hidden="false" customHeight="false" outlineLevel="0" collapsed="false">
      <c r="A220" s="10" t="s">
        <v>301</v>
      </c>
      <c r="B220" s="11" t="s">
        <v>27</v>
      </c>
      <c r="C220" s="10" t="s">
        <v>302</v>
      </c>
      <c r="D220" s="12" t="n">
        <v>6.17</v>
      </c>
      <c r="E220" s="12" t="n">
        <v>36.13</v>
      </c>
      <c r="F220" s="12" t="n">
        <f aca="false">E220-D220</f>
        <v>29.96</v>
      </c>
      <c r="G220" s="13" t="n">
        <f aca="false">IFERROR(F220/E220,"")</f>
        <v>0.829227788541378</v>
      </c>
      <c r="H220" s="12" t="n">
        <v>23.43</v>
      </c>
      <c r="I220" s="12" t="n">
        <f aca="false">H220-D220</f>
        <v>17.26</v>
      </c>
      <c r="J220" s="13" t="n">
        <f aca="false">IFERROR(I220/H220,"")</f>
        <v>0.73666239863423</v>
      </c>
      <c r="K220" s="12" t="n">
        <v>14.39</v>
      </c>
      <c r="L220" s="12" t="n">
        <f aca="false">K220-D220</f>
        <v>8.22</v>
      </c>
      <c r="M220" s="13" t="n">
        <f aca="false">IFERROR(L220/K220,"")</f>
        <v>0.571230020847811</v>
      </c>
      <c r="N220" s="12" t="n">
        <v>14.13</v>
      </c>
      <c r="O220" s="12" t="n">
        <f aca="false">N220-D220</f>
        <v>7.96</v>
      </c>
      <c r="P220" s="13" t="n">
        <f aca="false">IFERROR(O220/N220,"")</f>
        <v>0.563340410474169</v>
      </c>
      <c r="Q220" s="12" t="n">
        <v>13.6</v>
      </c>
      <c r="R220" s="12" t="n">
        <f aca="false">Q220-D220</f>
        <v>7.43</v>
      </c>
      <c r="S220" s="13" t="n">
        <f aca="false">IFERROR(R220/Q220,"")</f>
        <v>0.546323529411765</v>
      </c>
    </row>
    <row r="221" customFormat="false" ht="15" hidden="false" customHeight="false" outlineLevel="0" collapsed="false">
      <c r="A221" s="6" t="s">
        <v>303</v>
      </c>
      <c r="B221" s="7" t="s">
        <v>27</v>
      </c>
      <c r="C221" s="6" t="s">
        <v>304</v>
      </c>
      <c r="D221" s="8" t="n">
        <v>6.17</v>
      </c>
      <c r="E221" s="8" t="n">
        <v>36.95</v>
      </c>
      <c r="F221" s="8" t="n">
        <f aca="false">E221-D221</f>
        <v>30.78</v>
      </c>
      <c r="G221" s="9" t="n">
        <f aca="false">IFERROR(F221/E221,"")</f>
        <v>0.833017591339648</v>
      </c>
      <c r="H221" s="8" t="n">
        <v>23.82</v>
      </c>
      <c r="I221" s="8" t="n">
        <f aca="false">H221-D221</f>
        <v>17.65</v>
      </c>
      <c r="J221" s="9" t="n">
        <f aca="false">IFERROR(I221/H221,"")</f>
        <v>0.740973971452561</v>
      </c>
      <c r="K221" s="8" t="n">
        <v>14.86</v>
      </c>
      <c r="L221" s="8" t="n">
        <f aca="false">K221-D221</f>
        <v>8.69</v>
      </c>
      <c r="M221" s="9" t="n">
        <f aca="false">IFERROR(L221/K221,"")</f>
        <v>0.584791386271871</v>
      </c>
      <c r="N221" s="8" t="n">
        <v>14.45</v>
      </c>
      <c r="O221" s="8" t="n">
        <f aca="false">N221-D221</f>
        <v>8.28</v>
      </c>
      <c r="P221" s="9" t="n">
        <f aca="false">IFERROR(O221/N221,"")</f>
        <v>0.573010380622837</v>
      </c>
      <c r="Q221" s="8" t="n">
        <v>13.91</v>
      </c>
      <c r="R221" s="8" t="n">
        <f aca="false">Q221-D221</f>
        <v>7.74</v>
      </c>
      <c r="S221" s="9" t="n">
        <f aca="false">IFERROR(R221/Q221,"")</f>
        <v>0.556434219985622</v>
      </c>
    </row>
    <row r="222" customFormat="false" ht="15" hidden="false" customHeight="false" outlineLevel="0" collapsed="false">
      <c r="A222" s="10" t="s">
        <v>305</v>
      </c>
      <c r="B222" s="11" t="s">
        <v>27</v>
      </c>
      <c r="C222" s="10" t="s">
        <v>306</v>
      </c>
      <c r="D222" s="12" t="n">
        <v>2.46</v>
      </c>
      <c r="E222" s="12" t="n">
        <v>32.51</v>
      </c>
      <c r="F222" s="12" t="n">
        <f aca="false">E222-D222</f>
        <v>30.05</v>
      </c>
      <c r="G222" s="13" t="n">
        <f aca="false">IFERROR(F222/E222,"")</f>
        <v>0.924330975084589</v>
      </c>
      <c r="H222" s="12" t="n">
        <v>20.73</v>
      </c>
      <c r="I222" s="12" t="n">
        <f aca="false">H222-D222</f>
        <v>18.27</v>
      </c>
      <c r="J222" s="13" t="n">
        <f aca="false">IFERROR(I222/H222,"")</f>
        <v>0.881331403762663</v>
      </c>
      <c r="K222" s="12" t="n">
        <v>13.36</v>
      </c>
      <c r="L222" s="12" t="n">
        <f aca="false">K222-D222</f>
        <v>10.9</v>
      </c>
      <c r="M222" s="13" t="n">
        <f aca="false">IFERROR(L222/K222,"")</f>
        <v>0.815868263473054</v>
      </c>
      <c r="N222" s="12" t="n">
        <v>12.04</v>
      </c>
      <c r="O222" s="12" t="n">
        <f aca="false">N222-D222</f>
        <v>9.58</v>
      </c>
      <c r="P222" s="13" t="n">
        <f aca="false">IFERROR(O222/N222,"")</f>
        <v>0.795681063122924</v>
      </c>
      <c r="Q222" s="12" t="n">
        <v>11.59</v>
      </c>
      <c r="R222" s="12" t="n">
        <f aca="false">Q222-D222</f>
        <v>9.13</v>
      </c>
      <c r="S222" s="13" t="n">
        <f aca="false">IFERROR(R222/Q222,"")</f>
        <v>0.787748058671268</v>
      </c>
    </row>
    <row r="223" customFormat="false" ht="15" hidden="false" customHeight="false" outlineLevel="0" collapsed="false">
      <c r="A223" s="6" t="s">
        <v>305</v>
      </c>
      <c r="B223" s="7" t="s">
        <v>23</v>
      </c>
      <c r="C223" s="6" t="s">
        <v>306</v>
      </c>
      <c r="D223" s="8" t="n">
        <v>3.6</v>
      </c>
      <c r="E223" s="8" t="n">
        <v>35.4</v>
      </c>
      <c r="F223" s="8" t="n">
        <f aca="false">E223-D223</f>
        <v>31.8</v>
      </c>
      <c r="G223" s="9" t="n">
        <f aca="false">IFERROR(F223/E223,"")</f>
        <v>0.898305084745763</v>
      </c>
      <c r="H223" s="8" t="n">
        <v>22.73</v>
      </c>
      <c r="I223" s="8" t="n">
        <f aca="false">H223-D223</f>
        <v>19.13</v>
      </c>
      <c r="J223" s="9" t="n">
        <f aca="false">IFERROR(I223/H223,"")</f>
        <v>0.841619005719314</v>
      </c>
      <c r="K223" s="8" t="n">
        <v>15.11</v>
      </c>
      <c r="L223" s="8" t="n">
        <f aca="false">K223-D223</f>
        <v>11.51</v>
      </c>
      <c r="M223" s="9" t="n">
        <f aca="false">IFERROR(L223/K223,"")</f>
        <v>0.761747187293183</v>
      </c>
      <c r="N223" s="8" t="n">
        <v>13.61</v>
      </c>
      <c r="O223" s="8" t="n">
        <f aca="false">N223-D223</f>
        <v>10.01</v>
      </c>
      <c r="P223" s="9" t="n">
        <f aca="false">IFERROR(O223/N223,"")</f>
        <v>0.735488611315209</v>
      </c>
      <c r="Q223" s="8" t="n">
        <v>13.1</v>
      </c>
      <c r="R223" s="8" t="n">
        <f aca="false">Q223-D223</f>
        <v>9.5</v>
      </c>
      <c r="S223" s="9" t="n">
        <f aca="false">IFERROR(R223/Q223,"")</f>
        <v>0.725190839694657</v>
      </c>
    </row>
    <row r="224" customFormat="false" ht="15" hidden="false" customHeight="false" outlineLevel="0" collapsed="false">
      <c r="A224" s="10" t="s">
        <v>305</v>
      </c>
      <c r="B224" s="11" t="s">
        <v>25</v>
      </c>
      <c r="C224" s="10" t="s">
        <v>306</v>
      </c>
      <c r="D224" s="12" t="n">
        <v>3.96</v>
      </c>
      <c r="E224" s="12" t="n">
        <v>32.62</v>
      </c>
      <c r="F224" s="12" t="n">
        <f aca="false">E224-D224</f>
        <v>28.66</v>
      </c>
      <c r="G224" s="13" t="n">
        <f aca="false">IFERROR(F224/E224,"")</f>
        <v>0.878602084610668</v>
      </c>
      <c r="H224" s="12" t="n">
        <v>21.18</v>
      </c>
      <c r="I224" s="12" t="n">
        <f aca="false">H224-D224</f>
        <v>17.22</v>
      </c>
      <c r="J224" s="13" t="n">
        <f aca="false">IFERROR(I224/H224,"")</f>
        <v>0.813031161473088</v>
      </c>
      <c r="K224" s="12" t="n">
        <v>15.92</v>
      </c>
      <c r="L224" s="12" t="n">
        <f aca="false">K224-D224</f>
        <v>11.96</v>
      </c>
      <c r="M224" s="13" t="n">
        <f aca="false">IFERROR(L224/K224,"")</f>
        <v>0.751256281407035</v>
      </c>
      <c r="N224" s="12" t="n">
        <v>14.34</v>
      </c>
      <c r="O224" s="12" t="n">
        <f aca="false">N224-D224</f>
        <v>10.38</v>
      </c>
      <c r="P224" s="13" t="n">
        <f aca="false">IFERROR(O224/N224,"")</f>
        <v>0.723849372384937</v>
      </c>
      <c r="Q224" s="12" t="n">
        <v>13.81</v>
      </c>
      <c r="R224" s="12" t="n">
        <f aca="false">Q224-D224</f>
        <v>9.85</v>
      </c>
      <c r="S224" s="13" t="n">
        <f aca="false">IFERROR(R224/Q224,"")</f>
        <v>0.713251267197683</v>
      </c>
    </row>
    <row r="225" customFormat="false" ht="15" hidden="false" customHeight="false" outlineLevel="0" collapsed="false">
      <c r="A225" s="6" t="s">
        <v>307</v>
      </c>
      <c r="B225" s="7" t="s">
        <v>27</v>
      </c>
      <c r="C225" s="6" t="s">
        <v>308</v>
      </c>
      <c r="D225" s="8" t="n">
        <v>6.17</v>
      </c>
      <c r="E225" s="8" t="n">
        <v>36.95</v>
      </c>
      <c r="F225" s="8" t="n">
        <f aca="false">E225-D225</f>
        <v>30.78</v>
      </c>
      <c r="G225" s="9" t="n">
        <f aca="false">IFERROR(F225/E225,"")</f>
        <v>0.833017591339648</v>
      </c>
      <c r="H225" s="8" t="n">
        <v>23.82</v>
      </c>
      <c r="I225" s="8" t="n">
        <f aca="false">H225-D225</f>
        <v>17.65</v>
      </c>
      <c r="J225" s="9" t="n">
        <f aca="false">IFERROR(I225/H225,"")</f>
        <v>0.740973971452561</v>
      </c>
      <c r="K225" s="8" t="n">
        <v>15.89</v>
      </c>
      <c r="L225" s="8" t="n">
        <f aca="false">K225-D225</f>
        <v>9.72</v>
      </c>
      <c r="M225" s="9" t="n">
        <f aca="false">IFERROR(L225/K225,"")</f>
        <v>0.611705475141599</v>
      </c>
      <c r="N225" s="8" t="n">
        <v>14.45</v>
      </c>
      <c r="O225" s="8" t="n">
        <f aca="false">N225-D225</f>
        <v>8.28</v>
      </c>
      <c r="P225" s="9" t="n">
        <f aca="false">IFERROR(O225/N225,"")</f>
        <v>0.573010380622837</v>
      </c>
      <c r="Q225" s="8" t="n">
        <v>13.91</v>
      </c>
      <c r="R225" s="8" t="n">
        <f aca="false">Q225-D225</f>
        <v>7.74</v>
      </c>
      <c r="S225" s="9" t="n">
        <f aca="false">IFERROR(R225/Q225,"")</f>
        <v>0.556434219985622</v>
      </c>
    </row>
    <row r="226" customFormat="false" ht="15" hidden="false" customHeight="false" outlineLevel="0" collapsed="false">
      <c r="A226" s="10" t="s">
        <v>309</v>
      </c>
      <c r="B226" s="11" t="s">
        <v>27</v>
      </c>
      <c r="C226" s="10" t="s">
        <v>310</v>
      </c>
      <c r="D226" s="12" t="n">
        <v>6.17</v>
      </c>
      <c r="E226" s="12" t="n">
        <v>39.69</v>
      </c>
      <c r="F226" s="12" t="n">
        <f aca="false">E226-D226</f>
        <v>33.52</v>
      </c>
      <c r="G226" s="13" t="n">
        <f aca="false">IFERROR(F226/E226,"")</f>
        <v>0.844545225497606</v>
      </c>
      <c r="H226" s="12" t="n">
        <v>25.74</v>
      </c>
      <c r="I226" s="12" t="n">
        <f aca="false">H226-D226</f>
        <v>19.57</v>
      </c>
      <c r="J226" s="13" t="n">
        <f aca="false">IFERROR(I226/H226,"")</f>
        <v>0.76029526029526</v>
      </c>
      <c r="K226" s="12" t="n">
        <v>17.53</v>
      </c>
      <c r="L226" s="12" t="n">
        <f aca="false">K226-D226</f>
        <v>11.36</v>
      </c>
      <c r="M226" s="13" t="n">
        <f aca="false">IFERROR(L226/K226,"")</f>
        <v>0.648031945236737</v>
      </c>
      <c r="N226" s="12" t="n">
        <v>15.92</v>
      </c>
      <c r="O226" s="12" t="n">
        <f aca="false">N226-D226</f>
        <v>9.75</v>
      </c>
      <c r="P226" s="13" t="n">
        <f aca="false">IFERROR(O226/N226,"")</f>
        <v>0.612437185929648</v>
      </c>
      <c r="Q226" s="12" t="n">
        <v>15.34</v>
      </c>
      <c r="R226" s="12" t="n">
        <f aca="false">Q226-D226</f>
        <v>9.17</v>
      </c>
      <c r="S226" s="13" t="n">
        <f aca="false">IFERROR(R226/Q226,"")</f>
        <v>0.597783572359844</v>
      </c>
    </row>
    <row r="227" customFormat="false" ht="15" hidden="false" customHeight="false" outlineLevel="0" collapsed="false">
      <c r="A227" s="6" t="s">
        <v>311</v>
      </c>
      <c r="B227" s="7" t="s">
        <v>27</v>
      </c>
      <c r="C227" s="6" t="s">
        <v>312</v>
      </c>
      <c r="D227" s="8" t="n">
        <v>3.05</v>
      </c>
      <c r="E227" s="8" t="n">
        <v>30.83</v>
      </c>
      <c r="F227" s="8" t="n">
        <f aca="false">E227-D227</f>
        <v>27.78</v>
      </c>
      <c r="G227" s="9" t="n">
        <f aca="false">IFERROR(F227/E227,"")</f>
        <v>0.901070385987674</v>
      </c>
      <c r="H227" s="8" t="n">
        <v>19.54</v>
      </c>
      <c r="I227" s="8" t="n">
        <f aca="false">H227-D227</f>
        <v>16.49</v>
      </c>
      <c r="J227" s="9" t="n">
        <f aca="false">IFERROR(I227/H227,"")</f>
        <v>0.843909928352098</v>
      </c>
      <c r="K227" s="8" t="n">
        <v>12.26</v>
      </c>
      <c r="L227" s="8" t="n">
        <f aca="false">K227-D227</f>
        <v>9.21</v>
      </c>
      <c r="M227" s="9" t="n">
        <f aca="false">IFERROR(L227/K227,"")</f>
        <v>0.751223491027733</v>
      </c>
      <c r="N227" s="8" t="n">
        <v>11.14</v>
      </c>
      <c r="O227" s="8" t="n">
        <f aca="false">N227-D227</f>
        <v>8.09</v>
      </c>
      <c r="P227" s="9" t="n">
        <f aca="false">IFERROR(O227/N227,"")</f>
        <v>0.726211849192101</v>
      </c>
      <c r="Q227" s="8" t="n">
        <v>10.72</v>
      </c>
      <c r="R227" s="8" t="n">
        <f aca="false">Q227-D227</f>
        <v>7.67</v>
      </c>
      <c r="S227" s="9" t="n">
        <f aca="false">IFERROR(R227/Q227,"")</f>
        <v>0.715485074626866</v>
      </c>
    </row>
    <row r="228" customFormat="false" ht="15" hidden="false" customHeight="false" outlineLevel="0" collapsed="false">
      <c r="A228" s="10" t="s">
        <v>313</v>
      </c>
      <c r="B228" s="11" t="s">
        <v>27</v>
      </c>
      <c r="C228" s="10" t="s">
        <v>314</v>
      </c>
      <c r="D228" s="12" t="n">
        <v>2.91</v>
      </c>
      <c r="E228" s="12" t="n">
        <v>26.87</v>
      </c>
      <c r="F228" s="12" t="n">
        <f aca="false">E228-D228</f>
        <v>23.96</v>
      </c>
      <c r="G228" s="13" t="n">
        <f aca="false">IFERROR(F228/E228,"")</f>
        <v>0.891700781540752</v>
      </c>
      <c r="H228" s="12" t="n">
        <v>16.88</v>
      </c>
      <c r="I228" s="12" t="n">
        <f aca="false">H228-D228</f>
        <v>13.97</v>
      </c>
      <c r="J228" s="13" t="n">
        <f aca="false">IFERROR(I228/H228,"")</f>
        <v>0.82760663507109</v>
      </c>
      <c r="K228" s="12" t="n">
        <v>9.14</v>
      </c>
      <c r="L228" s="12" t="n">
        <f aca="false">K228-D228</f>
        <v>6.23</v>
      </c>
      <c r="M228" s="13" t="n">
        <f aca="false">IFERROR(L228/K228,"")</f>
        <v>0.681619256017506</v>
      </c>
      <c r="N228" s="12" t="n">
        <v>9.51</v>
      </c>
      <c r="O228" s="12" t="n">
        <f aca="false">N228-D228</f>
        <v>6.6</v>
      </c>
      <c r="P228" s="13" t="n">
        <f aca="false">IFERROR(O228/N228,"")</f>
        <v>0.694006309148265</v>
      </c>
      <c r="Q228" s="12" t="n">
        <v>9.48</v>
      </c>
      <c r="R228" s="12" t="n">
        <f aca="false">Q228-D228</f>
        <v>6.57</v>
      </c>
      <c r="S228" s="13" t="n">
        <f aca="false">IFERROR(R228/Q228,"")</f>
        <v>0.693037974683544</v>
      </c>
    </row>
    <row r="229" customFormat="false" ht="15" hidden="false" customHeight="false" outlineLevel="0" collapsed="false">
      <c r="A229" s="6" t="s">
        <v>315</v>
      </c>
      <c r="B229" s="7" t="s">
        <v>27</v>
      </c>
      <c r="C229" s="6" t="s">
        <v>316</v>
      </c>
      <c r="D229" s="8" t="n">
        <v>3.64</v>
      </c>
      <c r="E229" s="8" t="n">
        <v>28.73</v>
      </c>
      <c r="F229" s="8" t="n">
        <f aca="false">E229-D229</f>
        <v>25.09</v>
      </c>
      <c r="G229" s="9" t="n">
        <f aca="false">IFERROR(F229/E229,"")</f>
        <v>0.873303167420815</v>
      </c>
      <c r="H229" s="8" t="n">
        <v>12.68</v>
      </c>
      <c r="I229" s="8" t="n">
        <f aca="false">H229-D229</f>
        <v>9.04</v>
      </c>
      <c r="J229" s="9" t="n">
        <f aca="false">IFERROR(I229/H229,"")</f>
        <v>0.712933753943218</v>
      </c>
      <c r="K229" s="8" t="n">
        <v>10.7</v>
      </c>
      <c r="L229" s="8" t="n">
        <f aca="false">K229-D229</f>
        <v>7.06</v>
      </c>
      <c r="M229" s="9" t="n">
        <f aca="false">IFERROR(L229/K229,"")</f>
        <v>0.65981308411215</v>
      </c>
      <c r="N229" s="8" t="n">
        <v>8.71</v>
      </c>
      <c r="O229" s="8" t="n">
        <f aca="false">N229-D229</f>
        <v>5.07</v>
      </c>
      <c r="P229" s="9" t="n">
        <f aca="false">IFERROR(O229/N229,"")</f>
        <v>0.582089552238806</v>
      </c>
      <c r="Q229" s="8" t="n">
        <v>7.57</v>
      </c>
      <c r="R229" s="8" t="n">
        <f aca="false">Q229-D229</f>
        <v>3.93</v>
      </c>
      <c r="S229" s="9" t="n">
        <f aca="false">IFERROR(R229/Q229,"")</f>
        <v>0.519154557463672</v>
      </c>
    </row>
    <row r="230" customFormat="false" ht="15" hidden="false" customHeight="false" outlineLevel="0" collapsed="false">
      <c r="A230" s="10" t="s">
        <v>315</v>
      </c>
      <c r="B230" s="11" t="s">
        <v>23</v>
      </c>
      <c r="C230" s="10" t="s">
        <v>316</v>
      </c>
      <c r="D230" s="12" t="n">
        <v>8.71</v>
      </c>
      <c r="E230" s="12" t="n">
        <v>33.63</v>
      </c>
      <c r="F230" s="12" t="n">
        <f aca="false">E230-D230</f>
        <v>24.92</v>
      </c>
      <c r="G230" s="13" t="n">
        <f aca="false">IFERROR(F230/E230,"")</f>
        <v>0.741005055010407</v>
      </c>
      <c r="H230" s="12" t="n">
        <v>17.5</v>
      </c>
      <c r="I230" s="12" t="n">
        <f aca="false">H230-D230</f>
        <v>8.79</v>
      </c>
      <c r="J230" s="13" t="n">
        <f aca="false">IFERROR(I230/H230,"")</f>
        <v>0.502285714285714</v>
      </c>
      <c r="K230" s="12" t="n">
        <v>15.03</v>
      </c>
      <c r="L230" s="12" t="n">
        <f aca="false">K230-D230</f>
        <v>6.32</v>
      </c>
      <c r="M230" s="13" t="n">
        <f aca="false">IFERROR(L230/K230,"")</f>
        <v>0.420492348636061</v>
      </c>
      <c r="N230" s="12" t="n">
        <v>13.56</v>
      </c>
      <c r="O230" s="12" t="n">
        <f aca="false">N230-D230</f>
        <v>4.85</v>
      </c>
      <c r="P230" s="13" t="n">
        <f aca="false">IFERROR(O230/N230,"")</f>
        <v>0.357669616519174</v>
      </c>
      <c r="Q230" s="12" t="n">
        <v>12.44</v>
      </c>
      <c r="R230" s="12" t="n">
        <f aca="false">Q230-D230</f>
        <v>3.73</v>
      </c>
      <c r="S230" s="13" t="n">
        <f aca="false">IFERROR(R230/Q230,"")</f>
        <v>0.29983922829582</v>
      </c>
    </row>
    <row r="231" customFormat="false" ht="15" hidden="false" customHeight="false" outlineLevel="0" collapsed="false">
      <c r="A231" s="6" t="s">
        <v>317</v>
      </c>
      <c r="B231" s="7" t="s">
        <v>23</v>
      </c>
      <c r="C231" s="6" t="s">
        <v>318</v>
      </c>
      <c r="D231" s="8" t="n">
        <v>7.81</v>
      </c>
      <c r="E231" s="8" t="n">
        <v>33.13</v>
      </c>
      <c r="F231" s="8" t="n">
        <f aca="false">E231-D231</f>
        <v>25.32</v>
      </c>
      <c r="G231" s="9" t="n">
        <f aca="false">IFERROR(F231/E231,"")</f>
        <v>0.764261998188953</v>
      </c>
      <c r="H231" s="8" t="n">
        <v>16.15</v>
      </c>
      <c r="I231" s="8" t="n">
        <f aca="false">H231-D231</f>
        <v>8.34</v>
      </c>
      <c r="J231" s="9" t="n">
        <f aca="false">IFERROR(I231/H231,"")</f>
        <v>0.51640866873065</v>
      </c>
      <c r="K231" s="8" t="n">
        <v>13.15</v>
      </c>
      <c r="L231" s="8" t="n">
        <f aca="false">K231-D231</f>
        <v>5.34</v>
      </c>
      <c r="M231" s="9" t="n">
        <f aca="false">IFERROR(L231/K231,"")</f>
        <v>0.406083650190114</v>
      </c>
      <c r="N231" s="8" t="n">
        <v>11.48</v>
      </c>
      <c r="O231" s="8" t="n">
        <f aca="false">N231-D231</f>
        <v>3.67</v>
      </c>
      <c r="P231" s="9" t="n">
        <f aca="false">IFERROR(O231/N231,"")</f>
        <v>0.319686411149826</v>
      </c>
      <c r="Q231" s="8" t="n">
        <v>10.88</v>
      </c>
      <c r="R231" s="8" t="n">
        <f aca="false">Q231-D231</f>
        <v>3.07</v>
      </c>
      <c r="S231" s="9" t="n">
        <f aca="false">IFERROR(R231/Q231,"")</f>
        <v>0.282169117647059</v>
      </c>
    </row>
    <row r="232" customFormat="false" ht="15" hidden="false" customHeight="false" outlineLevel="0" collapsed="false">
      <c r="A232" s="10" t="s">
        <v>317</v>
      </c>
      <c r="B232" s="11" t="s">
        <v>25</v>
      </c>
      <c r="C232" s="10" t="s">
        <v>318</v>
      </c>
      <c r="D232" s="12" t="n">
        <v>8.59</v>
      </c>
      <c r="E232" s="12" t="n">
        <v>31.3</v>
      </c>
      <c r="F232" s="12" t="n">
        <f aca="false">E232-D232</f>
        <v>22.71</v>
      </c>
      <c r="G232" s="13" t="n">
        <f aca="false">IFERROR(F232/E232,"")</f>
        <v>0.72555910543131</v>
      </c>
      <c r="H232" s="12" t="n">
        <v>15.6</v>
      </c>
      <c r="I232" s="12" t="n">
        <f aca="false">H232-D232</f>
        <v>7.01</v>
      </c>
      <c r="J232" s="13" t="n">
        <f aca="false">IFERROR(I232/H232,"")</f>
        <v>0.449358974358974</v>
      </c>
      <c r="K232" s="12" t="n">
        <v>13.84</v>
      </c>
      <c r="L232" s="12" t="n">
        <f aca="false">K232-D232</f>
        <v>5.25</v>
      </c>
      <c r="M232" s="13" t="n">
        <f aca="false">IFERROR(L232/K232,"")</f>
        <v>0.379335260115607</v>
      </c>
      <c r="N232" s="12" t="n">
        <v>12.1</v>
      </c>
      <c r="O232" s="12" t="n">
        <f aca="false">N232-D232</f>
        <v>3.51</v>
      </c>
      <c r="P232" s="13" t="n">
        <f aca="false">IFERROR(O232/N232,"")</f>
        <v>0.290082644628099</v>
      </c>
      <c r="Q232" s="12" t="n">
        <v>11.46</v>
      </c>
      <c r="R232" s="12" t="n">
        <f aca="false">Q232-D232</f>
        <v>2.87</v>
      </c>
      <c r="S232" s="13" t="n">
        <f aca="false">IFERROR(R232/Q232,"")</f>
        <v>0.25043630017452</v>
      </c>
    </row>
    <row r="233" customFormat="false" ht="15" hidden="false" customHeight="false" outlineLevel="0" collapsed="false">
      <c r="A233" s="6" t="s">
        <v>319</v>
      </c>
      <c r="B233" s="7" t="s">
        <v>23</v>
      </c>
      <c r="C233" s="6" t="s">
        <v>320</v>
      </c>
      <c r="D233" s="8" t="n">
        <v>8.84</v>
      </c>
      <c r="E233" s="8" t="n">
        <v>33.63</v>
      </c>
      <c r="F233" s="8" t="n">
        <f aca="false">E233-D233</f>
        <v>24.79</v>
      </c>
      <c r="G233" s="9" t="n">
        <f aca="false">IFERROR(F233/E233,"")</f>
        <v>0.737139458816533</v>
      </c>
      <c r="H233" s="8" t="n">
        <v>18.69</v>
      </c>
      <c r="I233" s="8" t="n">
        <f aca="false">H233-D233</f>
        <v>9.85</v>
      </c>
      <c r="J233" s="9" t="n">
        <f aca="false">IFERROR(I233/H233,"")</f>
        <v>0.527019796682718</v>
      </c>
      <c r="K233" s="8" t="n">
        <v>15.28</v>
      </c>
      <c r="L233" s="8" t="n">
        <f aca="false">K233-D233</f>
        <v>6.44</v>
      </c>
      <c r="M233" s="9" t="n">
        <f aca="false">IFERROR(L233/K233,"")</f>
        <v>0.421465968586387</v>
      </c>
      <c r="N233" s="8" t="n">
        <v>12.16</v>
      </c>
      <c r="O233" s="8" t="n">
        <f aca="false">N233-D233</f>
        <v>3.32</v>
      </c>
      <c r="P233" s="9" t="n">
        <f aca="false">IFERROR(O233/N233,"")</f>
        <v>0.273026315789474</v>
      </c>
      <c r="Q233" s="8" t="n">
        <v>11.75</v>
      </c>
      <c r="R233" s="8" t="n">
        <f aca="false">Q233-D233</f>
        <v>2.91</v>
      </c>
      <c r="S233" s="9" t="n">
        <f aca="false">IFERROR(R233/Q233,"")</f>
        <v>0.247659574468085</v>
      </c>
    </row>
    <row r="234" customFormat="false" ht="15" hidden="false" customHeight="false" outlineLevel="0" collapsed="false">
      <c r="A234" s="10" t="s">
        <v>319</v>
      </c>
      <c r="B234" s="11" t="s">
        <v>25</v>
      </c>
      <c r="C234" s="10" t="s">
        <v>320</v>
      </c>
      <c r="D234" s="12" t="n">
        <v>9.72</v>
      </c>
      <c r="E234" s="12" t="n">
        <v>36.39</v>
      </c>
      <c r="F234" s="12" t="n">
        <f aca="false">E234-D234</f>
        <v>26.67</v>
      </c>
      <c r="G234" s="13" t="n">
        <f aca="false">IFERROR(F234/E234,"")</f>
        <v>0.732893652102226</v>
      </c>
      <c r="H234" s="12" t="n">
        <v>18.87</v>
      </c>
      <c r="I234" s="12" t="n">
        <f aca="false">H234-D234</f>
        <v>9.15</v>
      </c>
      <c r="J234" s="13" t="n">
        <f aca="false">IFERROR(I234/H234,"")</f>
        <v>0.48489666136725</v>
      </c>
      <c r="K234" s="12" t="n">
        <v>16.85</v>
      </c>
      <c r="L234" s="12" t="n">
        <f aca="false">K234-D234</f>
        <v>7.13</v>
      </c>
      <c r="M234" s="13" t="n">
        <f aca="false">IFERROR(L234/K234,"")</f>
        <v>0.423145400593472</v>
      </c>
      <c r="N234" s="12" t="n">
        <v>14.98</v>
      </c>
      <c r="O234" s="12" t="n">
        <f aca="false">N234-D234</f>
        <v>5.26</v>
      </c>
      <c r="P234" s="13" t="n">
        <f aca="false">IFERROR(O234/N234,"")</f>
        <v>0.351134846461949</v>
      </c>
      <c r="Q234" s="12" t="n">
        <v>14.76</v>
      </c>
      <c r="R234" s="12" t="n">
        <f aca="false">Q234-D234</f>
        <v>5.04</v>
      </c>
      <c r="S234" s="13" t="n">
        <f aca="false">IFERROR(R234/Q234,"")</f>
        <v>0.341463414634146</v>
      </c>
    </row>
    <row r="235" customFormat="false" ht="15" hidden="false" customHeight="false" outlineLevel="0" collapsed="false">
      <c r="A235" s="6" t="s">
        <v>321</v>
      </c>
      <c r="B235" s="7" t="s">
        <v>27</v>
      </c>
      <c r="C235" s="6" t="s">
        <v>322</v>
      </c>
      <c r="D235" s="8" t="n">
        <v>4.97</v>
      </c>
      <c r="E235" s="8" t="n">
        <v>30.57</v>
      </c>
      <c r="F235" s="8" t="n">
        <f aca="false">E235-D235</f>
        <v>25.6</v>
      </c>
      <c r="G235" s="9" t="n">
        <f aca="false">IFERROR(F235/E235,"")</f>
        <v>0.837422309453713</v>
      </c>
      <c r="H235" s="8" t="n">
        <v>18.05</v>
      </c>
      <c r="I235" s="8" t="n">
        <f aca="false">H235-D235</f>
        <v>13.08</v>
      </c>
      <c r="J235" s="9" t="n">
        <f aca="false">IFERROR(I235/H235,"")</f>
        <v>0.724653739612189</v>
      </c>
      <c r="K235" s="8" t="n">
        <v>10.1</v>
      </c>
      <c r="L235" s="8" t="n">
        <f aca="false">K235-D235</f>
        <v>5.13</v>
      </c>
      <c r="M235" s="9" t="n">
        <f aca="false">IFERROR(L235/K235,"")</f>
        <v>0.507920792079208</v>
      </c>
      <c r="N235" s="8" t="n">
        <v>8.5</v>
      </c>
      <c r="O235" s="8" t="n">
        <f aca="false">N235-D235</f>
        <v>3.53</v>
      </c>
      <c r="P235" s="9" t="n">
        <f aca="false">IFERROR(O235/N235,"")</f>
        <v>0.415294117647059</v>
      </c>
      <c r="Q235" s="8" t="n">
        <v>7.52</v>
      </c>
      <c r="R235" s="8" t="n">
        <f aca="false">Q235-D235</f>
        <v>2.55</v>
      </c>
      <c r="S235" s="9" t="n">
        <f aca="false">IFERROR(R235/Q235,"")</f>
        <v>0.339095744680851</v>
      </c>
    </row>
    <row r="236" customFormat="false" ht="15" hidden="false" customHeight="false" outlineLevel="0" collapsed="false">
      <c r="A236" s="10" t="s">
        <v>321</v>
      </c>
      <c r="B236" s="11" t="s">
        <v>23</v>
      </c>
      <c r="C236" s="10" t="s">
        <v>323</v>
      </c>
      <c r="D236" s="12" t="n">
        <v>7.09</v>
      </c>
      <c r="E236" s="12" t="n">
        <v>33.63</v>
      </c>
      <c r="F236" s="12" t="n">
        <f aca="false">E236-D236</f>
        <v>26.54</v>
      </c>
      <c r="G236" s="13" t="n">
        <f aca="false">IFERROR(F236/E236,"")</f>
        <v>0.789176330657151</v>
      </c>
      <c r="H236" s="12" t="n">
        <v>20.62</v>
      </c>
      <c r="I236" s="12" t="n">
        <f aca="false">H236-D236</f>
        <v>13.53</v>
      </c>
      <c r="J236" s="13" t="n">
        <f aca="false">IFERROR(I236/H236,"")</f>
        <v>0.65615906886518</v>
      </c>
      <c r="K236" s="12" t="n">
        <v>14.6</v>
      </c>
      <c r="L236" s="12" t="n">
        <f aca="false">K236-D236</f>
        <v>7.51</v>
      </c>
      <c r="M236" s="13" t="n">
        <f aca="false">IFERROR(L236/K236,"")</f>
        <v>0.514383561643836</v>
      </c>
      <c r="N236" s="12" t="n">
        <v>13.13</v>
      </c>
      <c r="O236" s="12" t="n">
        <f aca="false">N236-D236</f>
        <v>6.04</v>
      </c>
      <c r="P236" s="13" t="n">
        <f aca="false">IFERROR(O236/N236,"")</f>
        <v>0.46001523229246</v>
      </c>
      <c r="Q236" s="12" t="n">
        <v>12.65</v>
      </c>
      <c r="R236" s="12" t="n">
        <f aca="false">Q236-D236</f>
        <v>5.56</v>
      </c>
      <c r="S236" s="13" t="n">
        <f aca="false">IFERROR(R236/Q236,"")</f>
        <v>0.439525691699605</v>
      </c>
    </row>
    <row r="237" customFormat="false" ht="15" hidden="false" customHeight="false" outlineLevel="0" collapsed="false">
      <c r="A237" s="6" t="s">
        <v>321</v>
      </c>
      <c r="B237" s="7" t="s">
        <v>25</v>
      </c>
      <c r="C237" s="6" t="s">
        <v>323</v>
      </c>
      <c r="D237" s="8" t="n">
        <v>7.8</v>
      </c>
      <c r="E237" s="8" t="n">
        <v>36.39</v>
      </c>
      <c r="F237" s="8" t="n">
        <f aca="false">E237-D237</f>
        <v>28.59</v>
      </c>
      <c r="G237" s="9" t="n">
        <f aca="false">IFERROR(F237/E237,"")</f>
        <v>0.78565539983512</v>
      </c>
      <c r="H237" s="8" t="n">
        <v>20.29</v>
      </c>
      <c r="I237" s="8" t="n">
        <f aca="false">H237-D237</f>
        <v>12.49</v>
      </c>
      <c r="J237" s="9" t="n">
        <f aca="false">IFERROR(I237/H237,"")</f>
        <v>0.615574174470182</v>
      </c>
      <c r="K237" s="8" t="n">
        <v>14.08</v>
      </c>
      <c r="L237" s="8" t="n">
        <f aca="false">K237-D237</f>
        <v>6.28</v>
      </c>
      <c r="M237" s="9" t="n">
        <f aca="false">IFERROR(L237/K237,"")</f>
        <v>0.446022727272727</v>
      </c>
      <c r="N237" s="8" t="n">
        <v>12.67</v>
      </c>
      <c r="O237" s="8" t="n">
        <f aca="false">N237-D237</f>
        <v>4.87</v>
      </c>
      <c r="P237" s="9" t="n">
        <f aca="false">IFERROR(O237/N237,"")</f>
        <v>0.384372533543804</v>
      </c>
      <c r="Q237" s="8" t="n">
        <v>12.2</v>
      </c>
      <c r="R237" s="8" t="n">
        <f aca="false">Q237-D237</f>
        <v>4.4</v>
      </c>
      <c r="S237" s="9" t="n">
        <f aca="false">IFERROR(R237/Q237,"")</f>
        <v>0.360655737704918</v>
      </c>
    </row>
    <row r="238" customFormat="false" ht="15" hidden="false" customHeight="false" outlineLevel="0" collapsed="false">
      <c r="A238" s="10" t="s">
        <v>324</v>
      </c>
      <c r="B238" s="11" t="s">
        <v>23</v>
      </c>
      <c r="C238" s="10" t="s">
        <v>325</v>
      </c>
      <c r="D238" s="12" t="n">
        <v>8.46</v>
      </c>
      <c r="E238" s="12" t="n">
        <v>35.99</v>
      </c>
      <c r="F238" s="12" t="n">
        <f aca="false">E238-D238</f>
        <v>27.53</v>
      </c>
      <c r="G238" s="13" t="n">
        <f aca="false">IFERROR(F238/E238,"")</f>
        <v>0.764934704084468</v>
      </c>
      <c r="H238" s="12" t="n">
        <v>22.49</v>
      </c>
      <c r="I238" s="12" t="n">
        <f aca="false">H238-D238</f>
        <v>14.03</v>
      </c>
      <c r="J238" s="13" t="n">
        <f aca="false">IFERROR(I238/H238,"")</f>
        <v>0.62383281458426</v>
      </c>
      <c r="K238" s="12" t="n">
        <v>19.63</v>
      </c>
      <c r="L238" s="12" t="n">
        <f aca="false">K238-D238</f>
        <v>11.17</v>
      </c>
      <c r="M238" s="13" t="n">
        <f aca="false">IFERROR(L238/K238,"")</f>
        <v>0.569026999490576</v>
      </c>
      <c r="N238" s="12" t="n">
        <v>17.6</v>
      </c>
      <c r="O238" s="12" t="n">
        <f aca="false">N238-D238</f>
        <v>9.14</v>
      </c>
      <c r="P238" s="13" t="n">
        <f aca="false">IFERROR(O238/N238,"")</f>
        <v>0.519318181818182</v>
      </c>
      <c r="Q238" s="12" t="n">
        <v>16.48</v>
      </c>
      <c r="R238" s="12" t="n">
        <f aca="false">Q238-D238</f>
        <v>8.02</v>
      </c>
      <c r="S238" s="13" t="n">
        <f aca="false">IFERROR(R238/Q238,"")</f>
        <v>0.486650485436893</v>
      </c>
    </row>
    <row r="239" customFormat="false" ht="15" hidden="false" customHeight="false" outlineLevel="0" collapsed="false">
      <c r="A239" s="6" t="s">
        <v>324</v>
      </c>
      <c r="B239" s="7" t="s">
        <v>25</v>
      </c>
      <c r="C239" s="6" t="s">
        <v>325</v>
      </c>
      <c r="D239" s="8" t="n">
        <v>9.31</v>
      </c>
      <c r="E239" s="8" t="n">
        <v>37.4</v>
      </c>
      <c r="F239" s="8" t="n">
        <f aca="false">E239-D239</f>
        <v>28.09</v>
      </c>
      <c r="G239" s="9" t="n">
        <f aca="false">IFERROR(F239/E239,"")</f>
        <v>0.751069518716578</v>
      </c>
      <c r="H239" s="8" t="n">
        <v>23.37</v>
      </c>
      <c r="I239" s="8" t="n">
        <f aca="false">H239-D239</f>
        <v>14.06</v>
      </c>
      <c r="J239" s="9" t="n">
        <f aca="false">IFERROR(I239/H239,"")</f>
        <v>0.601626016260163</v>
      </c>
      <c r="K239" s="8" t="n">
        <v>21.01</v>
      </c>
      <c r="L239" s="8" t="n">
        <f aca="false">K239-D239</f>
        <v>11.7</v>
      </c>
      <c r="M239" s="9" t="n">
        <f aca="false">IFERROR(L239/K239,"")</f>
        <v>0.556877677296526</v>
      </c>
      <c r="N239" s="8" t="n">
        <v>18.95</v>
      </c>
      <c r="O239" s="8" t="n">
        <f aca="false">N239-D239</f>
        <v>9.64</v>
      </c>
      <c r="P239" s="9" t="n">
        <f aca="false">IFERROR(O239/N239,"")</f>
        <v>0.508707124010554</v>
      </c>
      <c r="Q239" s="8" t="n">
        <v>17.99</v>
      </c>
      <c r="R239" s="8" t="n">
        <f aca="false">Q239-D239</f>
        <v>8.68</v>
      </c>
      <c r="S239" s="9" t="n">
        <f aca="false">IFERROR(R239/Q239,"")</f>
        <v>0.482490272373541</v>
      </c>
    </row>
    <row r="240" customFormat="false" ht="15" hidden="false" customHeight="false" outlineLevel="0" collapsed="false">
      <c r="A240" s="10" t="s">
        <v>326</v>
      </c>
      <c r="B240" s="11" t="s">
        <v>27</v>
      </c>
      <c r="C240" s="10" t="s">
        <v>327</v>
      </c>
      <c r="D240" s="12" t="n">
        <v>5.86</v>
      </c>
      <c r="E240" s="12" t="n">
        <v>30.57</v>
      </c>
      <c r="F240" s="12" t="n">
        <f aca="false">E240-D240</f>
        <v>24.71</v>
      </c>
      <c r="G240" s="13" t="n">
        <f aca="false">IFERROR(F240/E240,"")</f>
        <v>0.808308799476611</v>
      </c>
      <c r="H240" s="12" t="n">
        <v>16.5</v>
      </c>
      <c r="I240" s="12" t="n">
        <f aca="false">H240-D240</f>
        <v>10.64</v>
      </c>
      <c r="J240" s="13" t="n">
        <f aca="false">IFERROR(I240/H240,"")</f>
        <v>0.644848484848485</v>
      </c>
      <c r="K240" s="12" t="n">
        <v>11.68</v>
      </c>
      <c r="L240" s="12" t="n">
        <f aca="false">K240-D240</f>
        <v>5.82</v>
      </c>
      <c r="M240" s="13" t="n">
        <f aca="false">IFERROR(L240/K240,"")</f>
        <v>0.498287671232877</v>
      </c>
      <c r="N240" s="12" t="n">
        <v>9.64</v>
      </c>
      <c r="O240" s="12" t="n">
        <f aca="false">N240-D240</f>
        <v>3.78</v>
      </c>
      <c r="P240" s="13" t="n">
        <f aca="false">IFERROR(O240/N240,"")</f>
        <v>0.392116182572614</v>
      </c>
      <c r="Q240" s="12" t="n">
        <v>8.96</v>
      </c>
      <c r="R240" s="12" t="n">
        <f aca="false">Q240-D240</f>
        <v>3.1</v>
      </c>
      <c r="S240" s="13" t="n">
        <f aca="false">IFERROR(R240/Q240,"")</f>
        <v>0.345982142857143</v>
      </c>
    </row>
    <row r="241" customFormat="false" ht="15" hidden="false" customHeight="false" outlineLevel="0" collapsed="false">
      <c r="A241" s="6" t="s">
        <v>328</v>
      </c>
      <c r="B241" s="7" t="s">
        <v>27</v>
      </c>
      <c r="C241" s="6" t="s">
        <v>329</v>
      </c>
      <c r="D241" s="8" t="n">
        <v>4.7</v>
      </c>
      <c r="E241" s="8" t="n">
        <v>30.57</v>
      </c>
      <c r="F241" s="8" t="n">
        <f aca="false">E241-D241</f>
        <v>25.87</v>
      </c>
      <c r="G241" s="9" t="n">
        <f aca="false">IFERROR(F241/E241,"")</f>
        <v>0.846254497873732</v>
      </c>
      <c r="H241" s="8" t="n">
        <v>15.99</v>
      </c>
      <c r="I241" s="8" t="n">
        <f aca="false">H241-D241</f>
        <v>11.29</v>
      </c>
      <c r="J241" s="9" t="n">
        <f aca="false">IFERROR(I241/H241,"")</f>
        <v>0.706066291432145</v>
      </c>
      <c r="K241" s="8" t="n">
        <v>11.23</v>
      </c>
      <c r="L241" s="8" t="n">
        <f aca="false">K241-D241</f>
        <v>6.53</v>
      </c>
      <c r="M241" s="9" t="n">
        <f aca="false">IFERROR(L241/K241,"")</f>
        <v>0.581478183437222</v>
      </c>
      <c r="N241" s="8" t="n">
        <v>8.9</v>
      </c>
      <c r="O241" s="8" t="n">
        <f aca="false">N241-D241</f>
        <v>4.2</v>
      </c>
      <c r="P241" s="9" t="n">
        <f aca="false">IFERROR(O241/N241,"")</f>
        <v>0.471910112359551</v>
      </c>
      <c r="Q241" s="8" t="n">
        <v>8.16</v>
      </c>
      <c r="R241" s="8" t="n">
        <f aca="false">Q241-D241</f>
        <v>3.46</v>
      </c>
      <c r="S241" s="9" t="n">
        <f aca="false">IFERROR(R241/Q241,"")</f>
        <v>0.424019607843137</v>
      </c>
    </row>
    <row r="242" customFormat="false" ht="15" hidden="false" customHeight="false" outlineLevel="0" collapsed="false">
      <c r="A242" s="10" t="s">
        <v>330</v>
      </c>
      <c r="B242" s="11" t="s">
        <v>23</v>
      </c>
      <c r="C242" s="10" t="s">
        <v>331</v>
      </c>
      <c r="D242" s="12" t="n">
        <v>8.46</v>
      </c>
      <c r="E242" s="12" t="n">
        <v>40</v>
      </c>
      <c r="F242" s="12" t="n">
        <f aca="false">E242-D242</f>
        <v>31.54</v>
      </c>
      <c r="G242" s="13" t="n">
        <f aca="false">IFERROR(F242/E242,"")</f>
        <v>0.7885</v>
      </c>
      <c r="H242" s="12" t="n">
        <v>24.99</v>
      </c>
      <c r="I242" s="12" t="n">
        <f aca="false">H242-D242</f>
        <v>16.53</v>
      </c>
      <c r="J242" s="13" t="n">
        <f aca="false">IFERROR(I242/H242,"")</f>
        <v>0.661464585834334</v>
      </c>
      <c r="K242" s="12" t="n">
        <v>22.28</v>
      </c>
      <c r="L242" s="12" t="n">
        <f aca="false">K242-D242</f>
        <v>13.82</v>
      </c>
      <c r="M242" s="13" t="n">
        <f aca="false">IFERROR(L242/K242,"")</f>
        <v>0.620287253141831</v>
      </c>
      <c r="N242" s="12" t="n">
        <v>20.36</v>
      </c>
      <c r="O242" s="12" t="n">
        <f aca="false">N242-D242</f>
        <v>11.9</v>
      </c>
      <c r="P242" s="13" t="n">
        <f aca="false">IFERROR(O242/N242,"")</f>
        <v>0.584479371316307</v>
      </c>
      <c r="Q242" s="12" t="n">
        <v>18.98</v>
      </c>
      <c r="R242" s="12" t="n">
        <f aca="false">Q242-D242</f>
        <v>10.52</v>
      </c>
      <c r="S242" s="13" t="n">
        <f aca="false">IFERROR(R242/Q242,"")</f>
        <v>0.554267650158061</v>
      </c>
    </row>
    <row r="243" customFormat="false" ht="15" hidden="false" customHeight="false" outlineLevel="0" collapsed="false">
      <c r="A243" s="6" t="s">
        <v>330</v>
      </c>
      <c r="B243" s="7" t="s">
        <v>25</v>
      </c>
      <c r="C243" s="6" t="s">
        <v>331</v>
      </c>
      <c r="D243" s="8" t="n">
        <v>9.31</v>
      </c>
      <c r="E243" s="8" t="n">
        <v>41.64</v>
      </c>
      <c r="F243" s="8" t="n">
        <f aca="false">E243-D243</f>
        <v>32.33</v>
      </c>
      <c r="G243" s="9" t="n">
        <f aca="false">IFERROR(F243/E243,"")</f>
        <v>0.776416906820365</v>
      </c>
      <c r="H243" s="8" t="n">
        <v>25.92</v>
      </c>
      <c r="I243" s="8" t="n">
        <f aca="false">H243-D243</f>
        <v>16.61</v>
      </c>
      <c r="J243" s="9" t="n">
        <f aca="false">IFERROR(I243/H243,"")</f>
        <v>0.640817901234568</v>
      </c>
      <c r="K243" s="8" t="n">
        <v>23.27</v>
      </c>
      <c r="L243" s="8" t="n">
        <f aca="false">K243-D243</f>
        <v>13.96</v>
      </c>
      <c r="M243" s="9" t="n">
        <f aca="false">IFERROR(L243/K243,"")</f>
        <v>0.599914052428019</v>
      </c>
      <c r="N243" s="8" t="n">
        <v>21.15</v>
      </c>
      <c r="O243" s="8" t="n">
        <f aca="false">N243-D243</f>
        <v>11.84</v>
      </c>
      <c r="P243" s="9" t="n">
        <f aca="false">IFERROR(O243/N243,"")</f>
        <v>0.559810874704492</v>
      </c>
      <c r="Q243" s="8" t="n">
        <v>20.18</v>
      </c>
      <c r="R243" s="8" t="n">
        <f aca="false">Q243-D243</f>
        <v>10.87</v>
      </c>
      <c r="S243" s="9" t="n">
        <f aca="false">IFERROR(R243/Q243,"")</f>
        <v>0.538652130822597</v>
      </c>
    </row>
    <row r="244" customFormat="false" ht="15" hidden="false" customHeight="false" outlineLevel="0" collapsed="false">
      <c r="A244" s="10" t="s">
        <v>332</v>
      </c>
      <c r="B244" s="11" t="s">
        <v>23</v>
      </c>
      <c r="C244" s="10" t="s">
        <v>333</v>
      </c>
      <c r="D244" s="12" t="n">
        <v>8.46</v>
      </c>
      <c r="E244" s="12" t="n">
        <v>42</v>
      </c>
      <c r="F244" s="12" t="n">
        <f aca="false">E244-D244</f>
        <v>33.54</v>
      </c>
      <c r="G244" s="13" t="n">
        <f aca="false">IFERROR(F244/E244,"")</f>
        <v>0.798571428571429</v>
      </c>
      <c r="H244" s="12" t="n">
        <v>25.99</v>
      </c>
      <c r="I244" s="12" t="n">
        <f aca="false">H244-D244</f>
        <v>17.53</v>
      </c>
      <c r="J244" s="13" t="n">
        <f aca="false">IFERROR(I244/H244,"")</f>
        <v>0.674490188534052</v>
      </c>
      <c r="K244" s="12" t="n">
        <v>23.01</v>
      </c>
      <c r="L244" s="12" t="n">
        <f aca="false">K244-D244</f>
        <v>14.55</v>
      </c>
      <c r="M244" s="13" t="n">
        <f aca="false">IFERROR(L244/K244,"")</f>
        <v>0.632333767926988</v>
      </c>
      <c r="N244" s="12" t="n">
        <v>20.84</v>
      </c>
      <c r="O244" s="12" t="n">
        <f aca="false">N244-D244</f>
        <v>12.38</v>
      </c>
      <c r="P244" s="13" t="n">
        <f aca="false">IFERROR(O244/N244,"")</f>
        <v>0.59404990403071</v>
      </c>
      <c r="Q244" s="12" t="n">
        <v>19.55</v>
      </c>
      <c r="R244" s="12" t="n">
        <f aca="false">Q244-D244</f>
        <v>11.09</v>
      </c>
      <c r="S244" s="13" t="n">
        <f aca="false">IFERROR(R244/Q244,"")</f>
        <v>0.567263427109974</v>
      </c>
    </row>
    <row r="245" customFormat="false" ht="15" hidden="false" customHeight="false" outlineLevel="0" collapsed="false">
      <c r="A245" s="6" t="s">
        <v>332</v>
      </c>
      <c r="B245" s="7" t="s">
        <v>25</v>
      </c>
      <c r="C245" s="6" t="s">
        <v>333</v>
      </c>
      <c r="D245" s="8" t="n">
        <v>9.31</v>
      </c>
      <c r="E245" s="8" t="n">
        <v>42.51</v>
      </c>
      <c r="F245" s="8" t="n">
        <f aca="false">E245-D245</f>
        <v>33.2</v>
      </c>
      <c r="G245" s="9" t="n">
        <f aca="false">IFERROR(F245/E245,"")</f>
        <v>0.780992707598212</v>
      </c>
      <c r="H245" s="8" t="n">
        <v>26.77</v>
      </c>
      <c r="I245" s="8" t="n">
        <f aca="false">H245-D245</f>
        <v>17.46</v>
      </c>
      <c r="J245" s="9" t="n">
        <f aca="false">IFERROR(I245/H245,"")</f>
        <v>0.652222637280538</v>
      </c>
      <c r="K245" s="8" t="n">
        <v>23.9</v>
      </c>
      <c r="L245" s="8" t="n">
        <f aca="false">K245-D245</f>
        <v>14.59</v>
      </c>
      <c r="M245" s="9" t="n">
        <f aca="false">IFERROR(L245/K245,"")</f>
        <v>0.610460251046025</v>
      </c>
      <c r="N245" s="8" t="n">
        <v>21.83</v>
      </c>
      <c r="O245" s="8" t="n">
        <f aca="false">N245-D245</f>
        <v>12.52</v>
      </c>
      <c r="P245" s="9" t="n">
        <f aca="false">IFERROR(O245/N245,"")</f>
        <v>0.57352267521759</v>
      </c>
      <c r="Q245" s="8" t="n">
        <v>20.67</v>
      </c>
      <c r="R245" s="8" t="n">
        <f aca="false">Q245-D245</f>
        <v>11.36</v>
      </c>
      <c r="S245" s="9" t="n">
        <f aca="false">IFERROR(R245/Q245,"")</f>
        <v>0.54958877600387</v>
      </c>
    </row>
    <row r="246" customFormat="false" ht="15" hidden="false" customHeight="false" outlineLevel="0" collapsed="false">
      <c r="A246" s="10" t="s">
        <v>334</v>
      </c>
      <c r="B246" s="11" t="s">
        <v>27</v>
      </c>
      <c r="C246" s="10" t="s">
        <v>335</v>
      </c>
      <c r="D246" s="12" t="n">
        <v>4.15</v>
      </c>
      <c r="E246" s="12" t="n">
        <v>33.98</v>
      </c>
      <c r="F246" s="12" t="n">
        <f aca="false">E246-D246</f>
        <v>29.83</v>
      </c>
      <c r="G246" s="13" t="n">
        <f aca="false">IFERROR(F246/E246,"")</f>
        <v>0.877869334902884</v>
      </c>
      <c r="H246" s="12" t="n">
        <v>17.15</v>
      </c>
      <c r="I246" s="12" t="n">
        <f aca="false">H246-D246</f>
        <v>13</v>
      </c>
      <c r="J246" s="13" t="n">
        <f aca="false">IFERROR(I246/H246,"")</f>
        <v>0.75801749271137</v>
      </c>
      <c r="K246" s="12" t="n">
        <v>12.53</v>
      </c>
      <c r="L246" s="12" t="n">
        <f aca="false">K246-D246</f>
        <v>8.38</v>
      </c>
      <c r="M246" s="13" t="n">
        <f aca="false">IFERROR(L246/K246,"")</f>
        <v>0.668794892258579</v>
      </c>
      <c r="N246" s="12" t="n">
        <v>12.19</v>
      </c>
      <c r="O246" s="12" t="n">
        <f aca="false">N246-D246</f>
        <v>8.04</v>
      </c>
      <c r="P246" s="13" t="n">
        <f aca="false">IFERROR(O246/N246,"")</f>
        <v>0.659557013945857</v>
      </c>
      <c r="Q246" s="12" t="n">
        <v>11.56</v>
      </c>
      <c r="R246" s="12" t="n">
        <f aca="false">Q246-D246</f>
        <v>7.41</v>
      </c>
      <c r="S246" s="13" t="n">
        <f aca="false">IFERROR(R246/Q246,"")</f>
        <v>0.641003460207613</v>
      </c>
    </row>
    <row r="247" customFormat="false" ht="15" hidden="false" customHeight="false" outlineLevel="0" collapsed="false">
      <c r="A247" s="6" t="s">
        <v>336</v>
      </c>
      <c r="B247" s="7" t="s">
        <v>27</v>
      </c>
      <c r="C247" s="6" t="s">
        <v>337</v>
      </c>
      <c r="D247" s="8" t="n">
        <v>4.21</v>
      </c>
      <c r="E247" s="8" t="n">
        <v>28.73</v>
      </c>
      <c r="F247" s="8" t="n">
        <f aca="false">E247-D247</f>
        <v>24.52</v>
      </c>
      <c r="G247" s="9" t="n">
        <f aca="false">IFERROR(F247/E247,"")</f>
        <v>0.853463278802645</v>
      </c>
      <c r="H247" s="8" t="n">
        <v>14.09</v>
      </c>
      <c r="I247" s="8" t="n">
        <f aca="false">H247-D247</f>
        <v>9.88</v>
      </c>
      <c r="J247" s="9" t="n">
        <f aca="false">IFERROR(I247/H247,"")</f>
        <v>0.701206529453513</v>
      </c>
      <c r="K247" s="8" t="n">
        <v>10.04</v>
      </c>
      <c r="L247" s="8" t="n">
        <f aca="false">K247-D247</f>
        <v>5.83</v>
      </c>
      <c r="M247" s="9" t="n">
        <f aca="false">IFERROR(L247/K247,"")</f>
        <v>0.580677290836653</v>
      </c>
      <c r="N247" s="8" t="n">
        <v>8.06</v>
      </c>
      <c r="O247" s="8" t="n">
        <f aca="false">N247-D247</f>
        <v>3.85</v>
      </c>
      <c r="P247" s="9" t="n">
        <f aca="false">IFERROR(O247/N247,"")</f>
        <v>0.477667493796526</v>
      </c>
      <c r="Q247" s="8" t="n">
        <v>7.26</v>
      </c>
      <c r="R247" s="8" t="n">
        <f aca="false">Q247-D247</f>
        <v>3.05</v>
      </c>
      <c r="S247" s="9" t="n">
        <f aca="false">IFERROR(R247/Q247,"")</f>
        <v>0.420110192837466</v>
      </c>
    </row>
    <row r="248" customFormat="false" ht="15" hidden="false" customHeight="false" outlineLevel="0" collapsed="false">
      <c r="A248" s="10" t="s">
        <v>336</v>
      </c>
      <c r="B248" s="11" t="s">
        <v>23</v>
      </c>
      <c r="C248" s="10" t="s">
        <v>337</v>
      </c>
      <c r="D248" s="12" t="n">
        <v>5.06</v>
      </c>
      <c r="E248" s="12" t="n">
        <v>33.63</v>
      </c>
      <c r="F248" s="12" t="n">
        <f aca="false">E248-D248</f>
        <v>28.57</v>
      </c>
      <c r="G248" s="13" t="n">
        <f aca="false">IFERROR(F248/E248,"")</f>
        <v>0.849539101992269</v>
      </c>
      <c r="H248" s="12" t="n">
        <v>17.5</v>
      </c>
      <c r="I248" s="12" t="n">
        <f aca="false">H248-D248</f>
        <v>12.44</v>
      </c>
      <c r="J248" s="13" t="n">
        <f aca="false">IFERROR(I248/H248,"")</f>
        <v>0.710857142857143</v>
      </c>
      <c r="K248" s="12" t="n">
        <v>13.82</v>
      </c>
      <c r="L248" s="12" t="n">
        <f aca="false">K248-D248</f>
        <v>8.76</v>
      </c>
      <c r="M248" s="13" t="n">
        <f aca="false">IFERROR(L248/K248,"")</f>
        <v>0.633863965267728</v>
      </c>
      <c r="N248" s="12" t="n">
        <v>11.63</v>
      </c>
      <c r="O248" s="12" t="n">
        <f aca="false">N248-D248</f>
        <v>6.57</v>
      </c>
      <c r="P248" s="13" t="n">
        <f aca="false">IFERROR(O248/N248,"")</f>
        <v>0.564918314703353</v>
      </c>
      <c r="Q248" s="12" t="n">
        <v>10.9</v>
      </c>
      <c r="R248" s="12" t="n">
        <f aca="false">Q248-D248</f>
        <v>5.84</v>
      </c>
      <c r="S248" s="13" t="n">
        <f aca="false">IFERROR(R248/Q248,"")</f>
        <v>0.535779816513762</v>
      </c>
    </row>
    <row r="249" customFormat="false" ht="15" hidden="false" customHeight="false" outlineLevel="0" collapsed="false">
      <c r="A249" s="6" t="s">
        <v>336</v>
      </c>
      <c r="B249" s="7" t="s">
        <v>25</v>
      </c>
      <c r="C249" s="6" t="s">
        <v>337</v>
      </c>
      <c r="D249" s="8" t="n">
        <v>5.56</v>
      </c>
      <c r="E249" s="8" t="n">
        <v>36.39</v>
      </c>
      <c r="F249" s="8" t="n">
        <f aca="false">E249-D249</f>
        <v>30.83</v>
      </c>
      <c r="G249" s="9" t="n">
        <f aca="false">IFERROR(F249/E249,"")</f>
        <v>0.847210772190162</v>
      </c>
      <c r="H249" s="8" t="n">
        <v>17</v>
      </c>
      <c r="I249" s="8" t="n">
        <f aca="false">H249-D249</f>
        <v>11.44</v>
      </c>
      <c r="J249" s="9" t="n">
        <f aca="false">IFERROR(I249/H249,"")</f>
        <v>0.672941176470588</v>
      </c>
      <c r="K249" s="8" t="n">
        <v>14.42</v>
      </c>
      <c r="L249" s="8" t="n">
        <f aca="false">K249-D249</f>
        <v>8.86</v>
      </c>
      <c r="M249" s="9" t="n">
        <f aca="false">IFERROR(L249/K249,"")</f>
        <v>0.614424410540915</v>
      </c>
      <c r="N249" s="8" t="n">
        <v>12.78</v>
      </c>
      <c r="O249" s="8" t="n">
        <f aca="false">N249-D249</f>
        <v>7.22</v>
      </c>
      <c r="P249" s="9" t="n">
        <f aca="false">IFERROR(O249/N249,"")</f>
        <v>0.564945226917058</v>
      </c>
      <c r="Q249" s="8" t="n">
        <v>12.43</v>
      </c>
      <c r="R249" s="8" t="n">
        <f aca="false">Q249-D249</f>
        <v>6.87</v>
      </c>
      <c r="S249" s="9" t="n">
        <f aca="false">IFERROR(R249/Q249,"")</f>
        <v>0.552695092518101</v>
      </c>
    </row>
    <row r="250" customFormat="false" ht="15" hidden="false" customHeight="false" outlineLevel="0" collapsed="false">
      <c r="A250" s="10" t="s">
        <v>338</v>
      </c>
      <c r="B250" s="11" t="s">
        <v>27</v>
      </c>
      <c r="C250" s="10" t="s">
        <v>339</v>
      </c>
      <c r="D250" s="12" t="n">
        <v>5.41</v>
      </c>
      <c r="E250" s="12" t="n">
        <v>30.57</v>
      </c>
      <c r="F250" s="12" t="n">
        <f aca="false">E250-D250</f>
        <v>25.16</v>
      </c>
      <c r="G250" s="13" t="n">
        <f aca="false">IFERROR(F250/E250,"")</f>
        <v>0.823029113509977</v>
      </c>
      <c r="H250" s="12" t="n">
        <v>14.99</v>
      </c>
      <c r="I250" s="12" t="n">
        <f aca="false">H250-D250</f>
        <v>9.58</v>
      </c>
      <c r="J250" s="13" t="n">
        <f aca="false">IFERROR(I250/H250,"")</f>
        <v>0.639092728485657</v>
      </c>
      <c r="K250" s="12" t="n">
        <v>11.48</v>
      </c>
      <c r="L250" s="12" t="n">
        <f aca="false">K250-D250</f>
        <v>6.07</v>
      </c>
      <c r="M250" s="13" t="n">
        <f aca="false">IFERROR(L250/K250,"")</f>
        <v>0.528745644599303</v>
      </c>
      <c r="N250" s="12" t="n">
        <v>9.91</v>
      </c>
      <c r="O250" s="12" t="n">
        <f aca="false">N250-D250</f>
        <v>4.5</v>
      </c>
      <c r="P250" s="13" t="n">
        <f aca="false">IFERROR(O250/N250,"")</f>
        <v>0.454086781029263</v>
      </c>
      <c r="Q250" s="12" t="n">
        <v>8.51</v>
      </c>
      <c r="R250" s="12" t="n">
        <f aca="false">Q250-D250</f>
        <v>3.1</v>
      </c>
      <c r="S250" s="13" t="n">
        <f aca="false">IFERROR(R250/Q250,"")</f>
        <v>0.36427732079906</v>
      </c>
    </row>
    <row r="251" customFormat="false" ht="15" hidden="false" customHeight="false" outlineLevel="0" collapsed="false">
      <c r="A251" s="6" t="s">
        <v>340</v>
      </c>
      <c r="B251" s="7" t="s">
        <v>27</v>
      </c>
      <c r="C251" s="6" t="s">
        <v>341</v>
      </c>
      <c r="D251" s="8" t="n">
        <v>5.17</v>
      </c>
      <c r="E251" s="8" t="n">
        <v>31</v>
      </c>
      <c r="F251" s="8" t="n">
        <f aca="false">E251-D251</f>
        <v>25.83</v>
      </c>
      <c r="G251" s="9" t="n">
        <f aca="false">IFERROR(F251/E251,"")</f>
        <v>0.833225806451613</v>
      </c>
      <c r="H251" s="8" t="n">
        <v>16.99</v>
      </c>
      <c r="I251" s="8" t="n">
        <f aca="false">H251-D251</f>
        <v>11.82</v>
      </c>
      <c r="J251" s="9" t="n">
        <f aca="false">IFERROR(I251/H251,"")</f>
        <v>0.695703354914656</v>
      </c>
      <c r="K251" s="8" t="n">
        <v>10.93</v>
      </c>
      <c r="L251" s="8" t="n">
        <f aca="false">K251-D251</f>
        <v>5.76</v>
      </c>
      <c r="M251" s="9" t="n">
        <f aca="false">IFERROR(L251/K251,"")</f>
        <v>0.526989935956084</v>
      </c>
      <c r="N251" s="8" t="n">
        <v>8.9</v>
      </c>
      <c r="O251" s="8" t="n">
        <f aca="false">N251-D251</f>
        <v>3.73</v>
      </c>
      <c r="P251" s="9" t="n">
        <f aca="false">IFERROR(O251/N251,"")</f>
        <v>0.419101123595506</v>
      </c>
      <c r="Q251" s="8" t="n">
        <v>7.26</v>
      </c>
      <c r="R251" s="8" t="n">
        <f aca="false">Q251-D251</f>
        <v>2.09</v>
      </c>
      <c r="S251" s="9" t="n">
        <f aca="false">IFERROR(R251/Q251,"")</f>
        <v>0.287878787878788</v>
      </c>
    </row>
    <row r="252" customFormat="false" ht="15" hidden="false" customHeight="false" outlineLevel="0" collapsed="false">
      <c r="A252" s="10" t="s">
        <v>340</v>
      </c>
      <c r="B252" s="11" t="s">
        <v>23</v>
      </c>
      <c r="C252" s="10" t="s">
        <v>341</v>
      </c>
      <c r="D252" s="12" t="n">
        <v>6.26</v>
      </c>
      <c r="E252" s="12" t="n">
        <v>35.99</v>
      </c>
      <c r="F252" s="12" t="n">
        <f aca="false">E252-D252</f>
        <v>29.73</v>
      </c>
      <c r="G252" s="13" t="n">
        <f aca="false">IFERROR(F252/E252,"")</f>
        <v>0.826062795220895</v>
      </c>
      <c r="H252" s="12" t="n">
        <v>20</v>
      </c>
      <c r="I252" s="12" t="n">
        <f aca="false">H252-D252</f>
        <v>13.74</v>
      </c>
      <c r="J252" s="13" t="n">
        <f aca="false">IFERROR(I252/H252,"")</f>
        <v>0.687</v>
      </c>
      <c r="K252" s="12" t="n">
        <v>14.1</v>
      </c>
      <c r="L252" s="12" t="n">
        <f aca="false">K252-D252</f>
        <v>7.84</v>
      </c>
      <c r="M252" s="13" t="n">
        <f aca="false">IFERROR(L252/K252,"")</f>
        <v>0.556028368794326</v>
      </c>
      <c r="N252" s="12" t="n">
        <v>12.03</v>
      </c>
      <c r="O252" s="12" t="n">
        <f aca="false">N252-D252</f>
        <v>5.77</v>
      </c>
      <c r="P252" s="13" t="n">
        <f aca="false">IFERROR(O252/N252,"")</f>
        <v>0.479634247714048</v>
      </c>
      <c r="Q252" s="12" t="n">
        <v>10.49</v>
      </c>
      <c r="R252" s="12" t="n">
        <f aca="false">Q252-D252</f>
        <v>4.23</v>
      </c>
      <c r="S252" s="13" t="n">
        <f aca="false">IFERROR(R252/Q252,"")</f>
        <v>0.40324118207817</v>
      </c>
    </row>
    <row r="253" customFormat="false" ht="15" hidden="false" customHeight="false" outlineLevel="0" collapsed="false">
      <c r="A253" s="6" t="s">
        <v>340</v>
      </c>
      <c r="B253" s="7" t="s">
        <v>25</v>
      </c>
      <c r="C253" s="6" t="s">
        <v>341</v>
      </c>
      <c r="D253" s="8" t="n">
        <v>6.89</v>
      </c>
      <c r="E253" s="8" t="n">
        <v>36.39</v>
      </c>
      <c r="F253" s="8" t="n">
        <f aca="false">E253-D253</f>
        <v>29.5</v>
      </c>
      <c r="G253" s="9" t="n">
        <f aca="false">IFERROR(F253/E253,"")</f>
        <v>0.810662269854356</v>
      </c>
      <c r="H253" s="8" t="n">
        <v>20.83</v>
      </c>
      <c r="I253" s="8" t="n">
        <f aca="false">H253-D253</f>
        <v>13.94</v>
      </c>
      <c r="J253" s="9" t="n">
        <f aca="false">IFERROR(I253/H253,"")</f>
        <v>0.669227076332213</v>
      </c>
      <c r="K253" s="8" t="n">
        <v>14.42</v>
      </c>
      <c r="L253" s="8" t="n">
        <f aca="false">K253-D253</f>
        <v>7.53</v>
      </c>
      <c r="M253" s="9" t="n">
        <f aca="false">IFERROR(L253/K253,"")</f>
        <v>0.522191400832178</v>
      </c>
      <c r="N253" s="8" t="n">
        <v>13.73</v>
      </c>
      <c r="O253" s="8" t="n">
        <f aca="false">N253-D253</f>
        <v>6.84</v>
      </c>
      <c r="P253" s="9" t="n">
        <f aca="false">IFERROR(O253/N253,"")</f>
        <v>0.498179169701384</v>
      </c>
      <c r="Q253" s="8" t="n">
        <v>12.36</v>
      </c>
      <c r="R253" s="8" t="n">
        <f aca="false">Q253-D253</f>
        <v>5.47</v>
      </c>
      <c r="S253" s="9" t="n">
        <f aca="false">IFERROR(R253/Q253,"")</f>
        <v>0.442556634304207</v>
      </c>
    </row>
    <row r="254" customFormat="false" ht="15" hidden="false" customHeight="false" outlineLevel="0" collapsed="false">
      <c r="A254" s="10" t="s">
        <v>342</v>
      </c>
      <c r="B254" s="11" t="s">
        <v>27</v>
      </c>
      <c r="C254" s="10" t="s">
        <v>343</v>
      </c>
      <c r="D254" s="12" t="n">
        <v>6</v>
      </c>
      <c r="E254" s="12" t="n">
        <v>35.71</v>
      </c>
      <c r="F254" s="12" t="n">
        <f aca="false">E254-D254</f>
        <v>29.71</v>
      </c>
      <c r="G254" s="13" t="n">
        <f aca="false">IFERROR(F254/E254,"")</f>
        <v>0.83197983758051</v>
      </c>
      <c r="H254" s="12" t="n">
        <v>21.62</v>
      </c>
      <c r="I254" s="12" t="n">
        <f aca="false">H254-D254</f>
        <v>15.62</v>
      </c>
      <c r="J254" s="13" t="n">
        <f aca="false">IFERROR(I254/H254,"")</f>
        <v>0.722479185938945</v>
      </c>
      <c r="K254" s="12" t="n">
        <v>17.63</v>
      </c>
      <c r="L254" s="12" t="n">
        <f aca="false">K254-D254</f>
        <v>11.63</v>
      </c>
      <c r="M254" s="13" t="n">
        <f aca="false">IFERROR(L254/K254,"")</f>
        <v>0.659671015314804</v>
      </c>
      <c r="N254" s="12" t="n">
        <v>13.18</v>
      </c>
      <c r="O254" s="12" t="n">
        <f aca="false">N254-D254</f>
        <v>7.18</v>
      </c>
      <c r="P254" s="13" t="n">
        <f aca="false">IFERROR(O254/N254,"")</f>
        <v>0.544764795144158</v>
      </c>
      <c r="Q254" s="12" t="n">
        <v>12.66</v>
      </c>
      <c r="R254" s="12" t="n">
        <f aca="false">Q254-D254</f>
        <v>6.66</v>
      </c>
      <c r="S254" s="13" t="n">
        <f aca="false">IFERROR(R254/Q254,"")</f>
        <v>0.526066350710901</v>
      </c>
    </row>
    <row r="255" customFormat="false" ht="15" hidden="false" customHeight="false" outlineLevel="0" collapsed="false">
      <c r="A255" s="6" t="s">
        <v>344</v>
      </c>
      <c r="B255" s="7" t="s">
        <v>27</v>
      </c>
      <c r="C255" s="6" t="s">
        <v>345</v>
      </c>
      <c r="D255" s="8" t="n">
        <v>5.7</v>
      </c>
      <c r="E255" s="8" t="n">
        <v>28.73</v>
      </c>
      <c r="F255" s="8" t="n">
        <f aca="false">E255-D255</f>
        <v>23.03</v>
      </c>
      <c r="G255" s="9" t="n">
        <f aca="false">IFERROR(F255/E255,"")</f>
        <v>0.801601113818309</v>
      </c>
      <c r="H255" s="8" t="n">
        <v>16.91</v>
      </c>
      <c r="I255" s="8" t="n">
        <f aca="false">H255-D255</f>
        <v>11.21</v>
      </c>
      <c r="J255" s="9" t="n">
        <f aca="false">IFERROR(I255/H255,"")</f>
        <v>0.662921348314607</v>
      </c>
      <c r="K255" s="8" t="n">
        <v>12.11</v>
      </c>
      <c r="L255" s="8" t="n">
        <f aca="false">K255-D255</f>
        <v>6.41</v>
      </c>
      <c r="M255" s="9" t="n">
        <f aca="false">IFERROR(L255/K255,"")</f>
        <v>0.529314616019818</v>
      </c>
      <c r="N255" s="8" t="n">
        <v>10.01</v>
      </c>
      <c r="O255" s="8" t="n">
        <f aca="false">N255-D255</f>
        <v>4.31</v>
      </c>
      <c r="P255" s="9" t="n">
        <f aca="false">IFERROR(O255/N255,"")</f>
        <v>0.430569430569431</v>
      </c>
      <c r="Q255" s="8" t="n">
        <v>8.81</v>
      </c>
      <c r="R255" s="8" t="n">
        <f aca="false">Q255-D255</f>
        <v>3.11</v>
      </c>
      <c r="S255" s="9" t="n">
        <f aca="false">IFERROR(R255/Q255,"")</f>
        <v>0.353007945516459</v>
      </c>
    </row>
    <row r="256" customFormat="false" ht="15" hidden="false" customHeight="false" outlineLevel="0" collapsed="false">
      <c r="A256" s="10" t="s">
        <v>346</v>
      </c>
      <c r="B256" s="11" t="s">
        <v>27</v>
      </c>
      <c r="C256" s="10" t="s">
        <v>347</v>
      </c>
      <c r="D256" s="12" t="n">
        <v>5.35</v>
      </c>
      <c r="E256" s="12" t="n">
        <v>28.73</v>
      </c>
      <c r="F256" s="12" t="n">
        <f aca="false">E256-D256</f>
        <v>23.38</v>
      </c>
      <c r="G256" s="13" t="n">
        <f aca="false">IFERROR(F256/E256,"")</f>
        <v>0.813783501566307</v>
      </c>
      <c r="H256" s="12" t="n">
        <v>15.97</v>
      </c>
      <c r="I256" s="12" t="n">
        <f aca="false">H256-D256</f>
        <v>10.62</v>
      </c>
      <c r="J256" s="13" t="n">
        <f aca="false">IFERROR(I256/H256,"")</f>
        <v>0.664996869129618</v>
      </c>
      <c r="K256" s="12" t="n">
        <v>12.52</v>
      </c>
      <c r="L256" s="12" t="n">
        <f aca="false">K256-D256</f>
        <v>7.17</v>
      </c>
      <c r="M256" s="13" t="n">
        <f aca="false">IFERROR(L256/K256,"")</f>
        <v>0.572683706070288</v>
      </c>
      <c r="N256" s="12" t="n">
        <v>9.74</v>
      </c>
      <c r="O256" s="12" t="n">
        <f aca="false">N256-D256</f>
        <v>4.39</v>
      </c>
      <c r="P256" s="13" t="n">
        <f aca="false">IFERROR(O256/N256,"")</f>
        <v>0.450718685831622</v>
      </c>
      <c r="Q256" s="12" t="n">
        <v>7.95</v>
      </c>
      <c r="R256" s="12" t="n">
        <f aca="false">Q256-D256</f>
        <v>2.6</v>
      </c>
      <c r="S256" s="13" t="n">
        <f aca="false">IFERROR(R256/Q256,"")</f>
        <v>0.327044025157233</v>
      </c>
    </row>
    <row r="257" customFormat="false" ht="15" hidden="false" customHeight="false" outlineLevel="0" collapsed="false">
      <c r="A257" s="6" t="s">
        <v>348</v>
      </c>
      <c r="B257" s="7" t="s">
        <v>27</v>
      </c>
      <c r="C257" s="6" t="s">
        <v>349</v>
      </c>
      <c r="D257" s="8" t="n">
        <v>4.86</v>
      </c>
      <c r="E257" s="8" t="n">
        <v>30.57</v>
      </c>
      <c r="F257" s="8" t="n">
        <f aca="false">E257-D257</f>
        <v>25.71</v>
      </c>
      <c r="G257" s="9" t="n">
        <f aca="false">IFERROR(F257/E257,"")</f>
        <v>0.841020608439647</v>
      </c>
      <c r="H257" s="8" t="n">
        <v>17.5</v>
      </c>
      <c r="I257" s="8" t="n">
        <f aca="false">H257-D257</f>
        <v>12.64</v>
      </c>
      <c r="J257" s="9" t="n">
        <f aca="false">IFERROR(I257/H257,"")</f>
        <v>0.722285714285714</v>
      </c>
      <c r="K257" s="8" t="n">
        <v>10.32</v>
      </c>
      <c r="L257" s="8" t="n">
        <f aca="false">K257-D257</f>
        <v>5.46</v>
      </c>
      <c r="M257" s="9" t="n">
        <f aca="false">IFERROR(L257/K257,"")</f>
        <v>0.52906976744186</v>
      </c>
      <c r="N257" s="8" t="n">
        <v>8.9</v>
      </c>
      <c r="O257" s="8" t="n">
        <f aca="false">N257-D257</f>
        <v>4.04</v>
      </c>
      <c r="P257" s="9" t="n">
        <f aca="false">IFERROR(O257/N257,"")</f>
        <v>0.453932584269663</v>
      </c>
      <c r="Q257" s="8" t="n">
        <v>7.26</v>
      </c>
      <c r="R257" s="8" t="n">
        <f aca="false">Q257-D257</f>
        <v>2.4</v>
      </c>
      <c r="S257" s="9" t="n">
        <f aca="false">IFERROR(R257/Q257,"")</f>
        <v>0.330578512396694</v>
      </c>
    </row>
    <row r="258" customFormat="false" ht="15" hidden="false" customHeight="false" outlineLevel="0" collapsed="false">
      <c r="A258" s="10" t="s">
        <v>348</v>
      </c>
      <c r="B258" s="11" t="s">
        <v>23</v>
      </c>
      <c r="C258" s="10" t="s">
        <v>349</v>
      </c>
      <c r="D258" s="12" t="n">
        <v>5.96</v>
      </c>
      <c r="E258" s="12" t="n">
        <v>33.63</v>
      </c>
      <c r="F258" s="12" t="n">
        <f aca="false">E258-D258</f>
        <v>27.67</v>
      </c>
      <c r="G258" s="13" t="n">
        <f aca="false">IFERROR(F258/E258,"")</f>
        <v>0.822777282188522</v>
      </c>
      <c r="H258" s="12" t="n">
        <v>18.99</v>
      </c>
      <c r="I258" s="12" t="n">
        <f aca="false">H258-D258</f>
        <v>13.03</v>
      </c>
      <c r="J258" s="13" t="n">
        <f aca="false">IFERROR(I258/H258,"")</f>
        <v>0.686150605581885</v>
      </c>
      <c r="K258" s="12" t="n">
        <v>12.24</v>
      </c>
      <c r="L258" s="12" t="n">
        <f aca="false">K258-D258</f>
        <v>6.28</v>
      </c>
      <c r="M258" s="13" t="n">
        <f aca="false">IFERROR(L258/K258,"")</f>
        <v>0.513071895424837</v>
      </c>
      <c r="N258" s="12" t="n">
        <v>10.32</v>
      </c>
      <c r="O258" s="12" t="n">
        <f aca="false">N258-D258</f>
        <v>4.36</v>
      </c>
      <c r="P258" s="13" t="n">
        <f aca="false">IFERROR(O258/N258,"")</f>
        <v>0.422480620155039</v>
      </c>
      <c r="Q258" s="12" t="n">
        <v>10.09</v>
      </c>
      <c r="R258" s="12" t="n">
        <f aca="false">Q258-D258</f>
        <v>4.13</v>
      </c>
      <c r="S258" s="13" t="n">
        <f aca="false">IFERROR(R258/Q258,"")</f>
        <v>0.409316154608523</v>
      </c>
    </row>
    <row r="259" customFormat="false" ht="15" hidden="false" customHeight="false" outlineLevel="0" collapsed="false">
      <c r="A259" s="6" t="s">
        <v>348</v>
      </c>
      <c r="B259" s="7" t="s">
        <v>25</v>
      </c>
      <c r="C259" s="6" t="s">
        <v>349</v>
      </c>
      <c r="D259" s="8" t="n">
        <v>6.55</v>
      </c>
      <c r="E259" s="8" t="n">
        <v>36.39</v>
      </c>
      <c r="F259" s="8" t="n">
        <f aca="false">E259-D259</f>
        <v>29.84</v>
      </c>
      <c r="G259" s="9" t="n">
        <f aca="false">IFERROR(F259/E259,"")</f>
        <v>0.820005496015389</v>
      </c>
      <c r="H259" s="8" t="n">
        <v>19.12</v>
      </c>
      <c r="I259" s="8" t="n">
        <f aca="false">H259-D259</f>
        <v>12.57</v>
      </c>
      <c r="J259" s="9" t="n">
        <f aca="false">IFERROR(I259/H259,"")</f>
        <v>0.657426778242678</v>
      </c>
      <c r="K259" s="8" t="n">
        <v>11.75</v>
      </c>
      <c r="L259" s="8" t="n">
        <f aca="false">K259-D259</f>
        <v>5.2</v>
      </c>
      <c r="M259" s="9" t="n">
        <f aca="false">IFERROR(L259/K259,"")</f>
        <v>0.442553191489362</v>
      </c>
      <c r="N259" s="8" t="n">
        <v>10.2</v>
      </c>
      <c r="O259" s="8" t="n">
        <f aca="false">N259-D259</f>
        <v>3.65</v>
      </c>
      <c r="P259" s="9" t="n">
        <f aca="false">IFERROR(O259/N259,"")</f>
        <v>0.357843137254902</v>
      </c>
      <c r="Q259" s="8" t="n">
        <v>10.64</v>
      </c>
      <c r="R259" s="8" t="n">
        <f aca="false">Q259-D259</f>
        <v>4.09</v>
      </c>
      <c r="S259" s="9" t="n">
        <f aca="false">IFERROR(R259/Q259,"")</f>
        <v>0.384398496240602</v>
      </c>
    </row>
    <row r="260" customFormat="false" ht="15" hidden="false" customHeight="false" outlineLevel="0" collapsed="false">
      <c r="A260" s="10" t="s">
        <v>350</v>
      </c>
      <c r="B260" s="11" t="s">
        <v>27</v>
      </c>
      <c r="C260" s="10" t="s">
        <v>351</v>
      </c>
      <c r="D260" s="12" t="n">
        <v>5.05</v>
      </c>
      <c r="E260" s="12" t="n">
        <v>31</v>
      </c>
      <c r="F260" s="12" t="n">
        <f aca="false">E260-D260</f>
        <v>25.95</v>
      </c>
      <c r="G260" s="13" t="n">
        <f aca="false">IFERROR(F260/E260,"")</f>
        <v>0.837096774193548</v>
      </c>
      <c r="H260" s="12" t="n">
        <v>18.99</v>
      </c>
      <c r="I260" s="12" t="n">
        <f aca="false">H260-D260</f>
        <v>13.94</v>
      </c>
      <c r="J260" s="13" t="n">
        <f aca="false">IFERROR(I260/H260,"")</f>
        <v>0.73407056345445</v>
      </c>
      <c r="K260" s="12" t="n">
        <v>14.24</v>
      </c>
      <c r="L260" s="12" t="n">
        <f aca="false">K260-D260</f>
        <v>9.19</v>
      </c>
      <c r="M260" s="13" t="n">
        <f aca="false">IFERROR(L260/K260,"")</f>
        <v>0.645365168539326</v>
      </c>
      <c r="N260" s="12" t="n">
        <v>11.66</v>
      </c>
      <c r="O260" s="12" t="n">
        <f aca="false">N260-D260</f>
        <v>6.61</v>
      </c>
      <c r="P260" s="13" t="n">
        <f aca="false">IFERROR(O260/N260,"")</f>
        <v>0.566895368782161</v>
      </c>
      <c r="Q260" s="12" t="n">
        <v>11.56</v>
      </c>
      <c r="R260" s="12" t="n">
        <f aca="false">Q260-D260</f>
        <v>6.51</v>
      </c>
      <c r="S260" s="13" t="n">
        <f aca="false">IFERROR(R260/Q260,"")</f>
        <v>0.563148788927336</v>
      </c>
    </row>
    <row r="261" customFormat="false" ht="15" hidden="false" customHeight="false" outlineLevel="0" collapsed="false">
      <c r="A261" s="6" t="s">
        <v>352</v>
      </c>
      <c r="B261" s="7" t="s">
        <v>27</v>
      </c>
      <c r="C261" s="6" t="s">
        <v>353</v>
      </c>
      <c r="D261" s="8" t="n">
        <v>5.35</v>
      </c>
      <c r="E261" s="8" t="n">
        <v>33</v>
      </c>
      <c r="F261" s="8" t="n">
        <f aca="false">E261-D261</f>
        <v>27.65</v>
      </c>
      <c r="G261" s="9" t="n">
        <f aca="false">IFERROR(F261/E261,"")</f>
        <v>0.837878787878788</v>
      </c>
      <c r="H261" s="8" t="n">
        <v>18.5</v>
      </c>
      <c r="I261" s="8" t="n">
        <f aca="false">H261-D261</f>
        <v>13.15</v>
      </c>
      <c r="J261" s="9" t="n">
        <f aca="false">IFERROR(I261/H261,"")</f>
        <v>0.710810810810811</v>
      </c>
      <c r="K261" s="8" t="n">
        <v>10.74</v>
      </c>
      <c r="L261" s="8" t="n">
        <f aca="false">K261-D261</f>
        <v>5.39</v>
      </c>
      <c r="M261" s="9" t="n">
        <f aca="false">IFERROR(L261/K261,"")</f>
        <v>0.501862197392924</v>
      </c>
      <c r="N261" s="8" t="n">
        <v>8.24</v>
      </c>
      <c r="O261" s="8" t="n">
        <f aca="false">N261-D261</f>
        <v>2.89</v>
      </c>
      <c r="P261" s="9" t="n">
        <f aca="false">IFERROR(O261/N261,"")</f>
        <v>0.350728155339806</v>
      </c>
      <c r="Q261" s="8" t="n">
        <v>8.21</v>
      </c>
      <c r="R261" s="8" t="n">
        <f aca="false">Q261-D261</f>
        <v>2.86</v>
      </c>
      <c r="S261" s="9" t="n">
        <f aca="false">IFERROR(R261/Q261,"")</f>
        <v>0.348355663824604</v>
      </c>
    </row>
    <row r="262" customFormat="false" ht="15" hidden="false" customHeight="false" outlineLevel="0" collapsed="false">
      <c r="A262" s="10" t="s">
        <v>352</v>
      </c>
      <c r="B262" s="11" t="s">
        <v>23</v>
      </c>
      <c r="C262" s="10" t="s">
        <v>353</v>
      </c>
      <c r="D262" s="12" t="n">
        <v>8.08</v>
      </c>
      <c r="E262" s="12" t="n">
        <v>36.99</v>
      </c>
      <c r="F262" s="12" t="n">
        <f aca="false">E262-D262</f>
        <v>28.91</v>
      </c>
      <c r="G262" s="13" t="n">
        <f aca="false">IFERROR(F262/E262,"")</f>
        <v>0.781562584482293</v>
      </c>
      <c r="H262" s="12" t="n">
        <v>20</v>
      </c>
      <c r="I262" s="12" t="n">
        <f aca="false">H262-D262</f>
        <v>11.92</v>
      </c>
      <c r="J262" s="13" t="n">
        <f aca="false">IFERROR(I262/H262,"")</f>
        <v>0.596</v>
      </c>
      <c r="K262" s="12" t="n">
        <v>15.51</v>
      </c>
      <c r="L262" s="12" t="n">
        <f aca="false">K262-D262</f>
        <v>7.43</v>
      </c>
      <c r="M262" s="13" t="n">
        <f aca="false">IFERROR(L262/K262,"")</f>
        <v>0.479045776918117</v>
      </c>
      <c r="N262" s="12" t="n">
        <v>13.09</v>
      </c>
      <c r="O262" s="12" t="n">
        <f aca="false">N262-D262</f>
        <v>5.01</v>
      </c>
      <c r="P262" s="13" t="n">
        <f aca="false">IFERROR(O262/N262,"")</f>
        <v>0.382734912146677</v>
      </c>
      <c r="Q262" s="12" t="n">
        <v>12.03</v>
      </c>
      <c r="R262" s="12" t="n">
        <f aca="false">Q262-D262</f>
        <v>3.95</v>
      </c>
      <c r="S262" s="13" t="n">
        <f aca="false">IFERROR(R262/Q262,"")</f>
        <v>0.328345802161263</v>
      </c>
    </row>
    <row r="263" customFormat="false" ht="15" hidden="false" customHeight="false" outlineLevel="0" collapsed="false">
      <c r="A263" s="6" t="s">
        <v>352</v>
      </c>
      <c r="B263" s="7" t="s">
        <v>25</v>
      </c>
      <c r="C263" s="6" t="s">
        <v>353</v>
      </c>
      <c r="D263" s="8" t="n">
        <v>8.89</v>
      </c>
      <c r="E263" s="8" t="n">
        <v>36.39</v>
      </c>
      <c r="F263" s="8" t="n">
        <f aca="false">E263-D263</f>
        <v>27.5</v>
      </c>
      <c r="G263" s="9" t="n">
        <f aca="false">IFERROR(F263/E263,"")</f>
        <v>0.755702115965925</v>
      </c>
      <c r="H263" s="8" t="n">
        <v>21.24</v>
      </c>
      <c r="I263" s="8" t="n">
        <f aca="false">H263-D263</f>
        <v>12.35</v>
      </c>
      <c r="J263" s="9" t="n">
        <f aca="false">IFERROR(I263/H263,"")</f>
        <v>0.581450094161959</v>
      </c>
      <c r="K263" s="8" t="n">
        <v>17.08</v>
      </c>
      <c r="L263" s="8" t="n">
        <f aca="false">K263-D263</f>
        <v>8.19</v>
      </c>
      <c r="M263" s="9" t="n">
        <f aca="false">IFERROR(L263/K263,"")</f>
        <v>0.479508196721311</v>
      </c>
      <c r="N263" s="8" t="n">
        <v>14.97</v>
      </c>
      <c r="O263" s="8" t="n">
        <f aca="false">N263-D263</f>
        <v>6.08</v>
      </c>
      <c r="P263" s="9" t="n">
        <f aca="false">IFERROR(O263/N263,"")</f>
        <v>0.406145624582498</v>
      </c>
      <c r="Q263" s="8" t="n">
        <v>14.08</v>
      </c>
      <c r="R263" s="8" t="n">
        <f aca="false">Q263-D263</f>
        <v>5.19</v>
      </c>
      <c r="S263" s="9" t="n">
        <f aca="false">IFERROR(R263/Q263,"")</f>
        <v>0.368607954545455</v>
      </c>
    </row>
    <row r="264" customFormat="false" ht="15" hidden="false" customHeight="false" outlineLevel="0" collapsed="false">
      <c r="A264" s="10" t="s">
        <v>354</v>
      </c>
      <c r="B264" s="11" t="s">
        <v>27</v>
      </c>
      <c r="C264" s="10" t="s">
        <v>355</v>
      </c>
      <c r="D264" s="12" t="n">
        <v>5.58</v>
      </c>
      <c r="E264" s="12" t="n">
        <v>30.57</v>
      </c>
      <c r="F264" s="12" t="n">
        <f aca="false">E264-D264</f>
        <v>24.99</v>
      </c>
      <c r="G264" s="13" t="n">
        <f aca="false">IFERROR(F264/E264,"")</f>
        <v>0.817468105986261</v>
      </c>
      <c r="H264" s="12" t="n">
        <v>14.99</v>
      </c>
      <c r="I264" s="12" t="n">
        <f aca="false">H264-D264</f>
        <v>9.41</v>
      </c>
      <c r="J264" s="13" t="n">
        <f aca="false">IFERROR(I264/H264,"")</f>
        <v>0.627751834556371</v>
      </c>
      <c r="K264" s="12" t="n">
        <v>11.02</v>
      </c>
      <c r="L264" s="12" t="n">
        <f aca="false">K264-D264</f>
        <v>5.44</v>
      </c>
      <c r="M264" s="13" t="n">
        <f aca="false">IFERROR(L264/K264,"")</f>
        <v>0.493647912885662</v>
      </c>
      <c r="N264" s="12" t="n">
        <v>8.9</v>
      </c>
      <c r="O264" s="12" t="n">
        <f aca="false">N264-D264</f>
        <v>3.32</v>
      </c>
      <c r="P264" s="13" t="n">
        <f aca="false">IFERROR(O264/N264,"")</f>
        <v>0.373033707865169</v>
      </c>
      <c r="Q264" s="12" t="n">
        <v>8.24</v>
      </c>
      <c r="R264" s="12" t="n">
        <f aca="false">Q264-D264</f>
        <v>2.66</v>
      </c>
      <c r="S264" s="13" t="n">
        <f aca="false">IFERROR(R264/Q264,"")</f>
        <v>0.322815533980583</v>
      </c>
    </row>
    <row r="265" customFormat="false" ht="15" hidden="false" customHeight="false" outlineLevel="0" collapsed="false">
      <c r="A265" s="6" t="s">
        <v>354</v>
      </c>
      <c r="B265" s="7" t="s">
        <v>23</v>
      </c>
      <c r="C265" s="6" t="s">
        <v>355</v>
      </c>
      <c r="D265" s="8" t="n">
        <v>7.02</v>
      </c>
      <c r="E265" s="8" t="n">
        <v>33.13</v>
      </c>
      <c r="F265" s="8" t="n">
        <f aca="false">E265-D265</f>
        <v>26.11</v>
      </c>
      <c r="G265" s="9" t="n">
        <f aca="false">IFERROR(F265/E265,"")</f>
        <v>0.788107455478418</v>
      </c>
      <c r="H265" s="8" t="n">
        <v>16.15</v>
      </c>
      <c r="I265" s="8" t="n">
        <f aca="false">H265-D265</f>
        <v>9.13</v>
      </c>
      <c r="J265" s="9" t="n">
        <f aca="false">IFERROR(I265/H265,"")</f>
        <v>0.565325077399381</v>
      </c>
      <c r="K265" s="8" t="n">
        <v>13.15</v>
      </c>
      <c r="L265" s="8" t="n">
        <f aca="false">K265-D265</f>
        <v>6.13</v>
      </c>
      <c r="M265" s="9" t="n">
        <f aca="false">IFERROR(L265/K265,"")</f>
        <v>0.466159695817491</v>
      </c>
      <c r="N265" s="8" t="n">
        <v>9.83</v>
      </c>
      <c r="O265" s="8" t="n">
        <f aca="false">N265-D265</f>
        <v>2.81</v>
      </c>
      <c r="P265" s="9" t="n">
        <f aca="false">IFERROR(O265/N265,"")</f>
        <v>0.285859613428281</v>
      </c>
      <c r="Q265" s="8" t="n">
        <v>9.11</v>
      </c>
      <c r="R265" s="8" t="n">
        <f aca="false">Q265-D265</f>
        <v>2.09</v>
      </c>
      <c r="S265" s="9" t="n">
        <f aca="false">IFERROR(R265/Q265,"")</f>
        <v>0.229418221734358</v>
      </c>
    </row>
    <row r="266" customFormat="false" ht="15" hidden="false" customHeight="false" outlineLevel="0" collapsed="false">
      <c r="A266" s="10" t="s">
        <v>354</v>
      </c>
      <c r="B266" s="11" t="s">
        <v>25</v>
      </c>
      <c r="C266" s="10" t="s">
        <v>355</v>
      </c>
      <c r="D266" s="12" t="n">
        <v>7.72</v>
      </c>
      <c r="E266" s="12" t="n">
        <v>36.39</v>
      </c>
      <c r="F266" s="12" t="n">
        <f aca="false">E266-D266</f>
        <v>28.67</v>
      </c>
      <c r="G266" s="13" t="n">
        <f aca="false">IFERROR(F266/E266,"")</f>
        <v>0.787853805990657</v>
      </c>
      <c r="H266" s="12" t="n">
        <v>19.55</v>
      </c>
      <c r="I266" s="12" t="n">
        <f aca="false">H266-D266</f>
        <v>11.83</v>
      </c>
      <c r="J266" s="13" t="n">
        <f aca="false">IFERROR(I266/H266,"")</f>
        <v>0.605115089514067</v>
      </c>
      <c r="K266" s="12" t="n">
        <v>16.48</v>
      </c>
      <c r="L266" s="12" t="n">
        <f aca="false">K266-D266</f>
        <v>8.76</v>
      </c>
      <c r="M266" s="13" t="n">
        <f aca="false">IFERROR(L266/K266,"")</f>
        <v>0.531553398058253</v>
      </c>
      <c r="N266" s="12" t="n">
        <v>13.62</v>
      </c>
      <c r="O266" s="12" t="n">
        <f aca="false">N266-D266</f>
        <v>5.9</v>
      </c>
      <c r="P266" s="13" t="n">
        <f aca="false">IFERROR(O266/N266,"")</f>
        <v>0.433186490455213</v>
      </c>
      <c r="Q266" s="12" t="n">
        <v>13.73</v>
      </c>
      <c r="R266" s="12" t="n">
        <f aca="false">Q266-D266</f>
        <v>6.01</v>
      </c>
      <c r="S266" s="13" t="n">
        <f aca="false">IFERROR(R266/Q266,"")</f>
        <v>0.437727603787327</v>
      </c>
    </row>
    <row r="267" customFormat="false" ht="15" hidden="false" customHeight="false" outlineLevel="0" collapsed="false">
      <c r="A267" s="6" t="s">
        <v>356</v>
      </c>
      <c r="B267" s="7" t="s">
        <v>27</v>
      </c>
      <c r="C267" s="6" t="s">
        <v>357</v>
      </c>
      <c r="D267" s="8" t="n">
        <v>5.92</v>
      </c>
      <c r="E267" s="8" t="n">
        <v>40</v>
      </c>
      <c r="F267" s="8" t="n">
        <f aca="false">E267-D267</f>
        <v>34.08</v>
      </c>
      <c r="G267" s="9" t="n">
        <f aca="false">IFERROR(F267/E267,"")</f>
        <v>0.852</v>
      </c>
      <c r="H267" s="8" t="n">
        <v>22.49</v>
      </c>
      <c r="I267" s="8" t="n">
        <f aca="false">H267-D267</f>
        <v>16.57</v>
      </c>
      <c r="J267" s="9" t="n">
        <f aca="false">IFERROR(I267/H267,"")</f>
        <v>0.73677189862161</v>
      </c>
      <c r="K267" s="8" t="n">
        <v>15.75</v>
      </c>
      <c r="L267" s="8" t="n">
        <f aca="false">K267-D267</f>
        <v>9.83</v>
      </c>
      <c r="M267" s="9" t="n">
        <f aca="false">IFERROR(L267/K267,"")</f>
        <v>0.624126984126984</v>
      </c>
      <c r="N267" s="8" t="n">
        <v>13.12</v>
      </c>
      <c r="O267" s="8" t="n">
        <f aca="false">N267-D267</f>
        <v>7.2</v>
      </c>
      <c r="P267" s="9" t="n">
        <f aca="false">IFERROR(O267/N267,"")</f>
        <v>0.548780487804878</v>
      </c>
      <c r="Q267" s="8" t="n">
        <v>11.55</v>
      </c>
      <c r="R267" s="8" t="n">
        <f aca="false">Q267-D267</f>
        <v>5.63</v>
      </c>
      <c r="S267" s="9" t="n">
        <f aca="false">IFERROR(R267/Q267,"")</f>
        <v>0.487445887445887</v>
      </c>
    </row>
    <row r="268" customFormat="false" ht="15" hidden="false" customHeight="false" outlineLevel="0" collapsed="false">
      <c r="A268" s="10" t="s">
        <v>356</v>
      </c>
      <c r="B268" s="11" t="s">
        <v>23</v>
      </c>
      <c r="C268" s="10" t="s">
        <v>357</v>
      </c>
      <c r="D268" s="12" t="n">
        <v>7.67</v>
      </c>
      <c r="E268" s="12" t="n">
        <v>43.35</v>
      </c>
      <c r="F268" s="12" t="n">
        <f aca="false">E268-D268</f>
        <v>35.68</v>
      </c>
      <c r="G268" s="13" t="n">
        <f aca="false">IFERROR(F268/E268,"")</f>
        <v>0.823068050749712</v>
      </c>
      <c r="H268" s="12" t="n">
        <v>24.24</v>
      </c>
      <c r="I268" s="12" t="n">
        <f aca="false">H268-D268</f>
        <v>16.57</v>
      </c>
      <c r="J268" s="13" t="n">
        <f aca="false">IFERROR(I268/H268,"")</f>
        <v>0.683580858085809</v>
      </c>
      <c r="K268" s="12" t="n">
        <v>18.8</v>
      </c>
      <c r="L268" s="12" t="n">
        <f aca="false">K268-D268</f>
        <v>11.13</v>
      </c>
      <c r="M268" s="13" t="n">
        <f aca="false">IFERROR(L268/K268,"")</f>
        <v>0.592021276595745</v>
      </c>
      <c r="N268" s="12" t="n">
        <v>14.49</v>
      </c>
      <c r="O268" s="12" t="n">
        <f aca="false">N268-D268</f>
        <v>6.82</v>
      </c>
      <c r="P268" s="13" t="n">
        <f aca="false">IFERROR(O268/N268,"")</f>
        <v>0.470669427191166</v>
      </c>
      <c r="Q268" s="12" t="n">
        <v>12.76</v>
      </c>
      <c r="R268" s="12" t="n">
        <f aca="false">Q268-D268</f>
        <v>5.09</v>
      </c>
      <c r="S268" s="13" t="n">
        <f aca="false">IFERROR(R268/Q268,"")</f>
        <v>0.398902821316614</v>
      </c>
    </row>
    <row r="269" customFormat="false" ht="15" hidden="false" customHeight="false" outlineLevel="0" collapsed="false">
      <c r="A269" s="6" t="s">
        <v>356</v>
      </c>
      <c r="B269" s="7" t="s">
        <v>25</v>
      </c>
      <c r="C269" s="6" t="s">
        <v>357</v>
      </c>
      <c r="D269" s="8" t="n">
        <v>8.43</v>
      </c>
      <c r="E269" s="8" t="n">
        <v>45.52</v>
      </c>
      <c r="F269" s="8" t="n">
        <f aca="false">E269-D269</f>
        <v>37.09</v>
      </c>
      <c r="G269" s="9" t="n">
        <f aca="false">IFERROR(F269/E269,"")</f>
        <v>0.814806678383128</v>
      </c>
      <c r="H269" s="8" t="n">
        <v>27.09</v>
      </c>
      <c r="I269" s="8" t="n">
        <f aca="false">H269-D269</f>
        <v>18.66</v>
      </c>
      <c r="J269" s="9" t="n">
        <f aca="false">IFERROR(I269/H269,"")</f>
        <v>0.688815060908084</v>
      </c>
      <c r="K269" s="8" t="n">
        <v>22.66</v>
      </c>
      <c r="L269" s="8" t="n">
        <f aca="false">K269-D269</f>
        <v>14.23</v>
      </c>
      <c r="M269" s="9" t="n">
        <f aca="false">IFERROR(L269/K269,"")</f>
        <v>0.627978817299206</v>
      </c>
      <c r="N269" s="8" t="n">
        <v>18.86</v>
      </c>
      <c r="O269" s="8" t="n">
        <f aca="false">N269-D269</f>
        <v>10.43</v>
      </c>
      <c r="P269" s="9" t="n">
        <f aca="false">IFERROR(O269/N269,"")</f>
        <v>0.553022269353128</v>
      </c>
      <c r="Q269" s="8" t="n">
        <v>17.48</v>
      </c>
      <c r="R269" s="8" t="n">
        <f aca="false">Q269-D269</f>
        <v>9.05</v>
      </c>
      <c r="S269" s="9" t="n">
        <f aca="false">IFERROR(R269/Q269,"")</f>
        <v>0.517734553775744</v>
      </c>
    </row>
    <row r="270" customFormat="false" ht="15" hidden="false" customHeight="false" outlineLevel="0" collapsed="false">
      <c r="A270" s="10" t="s">
        <v>358</v>
      </c>
      <c r="B270" s="11" t="s">
        <v>23</v>
      </c>
      <c r="C270" s="10" t="s">
        <v>359</v>
      </c>
      <c r="D270" s="12" t="n">
        <v>8.84</v>
      </c>
      <c r="E270" s="12" t="n">
        <v>51.48</v>
      </c>
      <c r="F270" s="12" t="n">
        <f aca="false">E270-D270</f>
        <v>42.64</v>
      </c>
      <c r="G270" s="13" t="n">
        <f aca="false">IFERROR(F270/E270,"")</f>
        <v>0.828282828282828</v>
      </c>
      <c r="H270" s="12" t="n">
        <v>32.92</v>
      </c>
      <c r="I270" s="12" t="n">
        <f aca="false">H270-D270</f>
        <v>24.08</v>
      </c>
      <c r="J270" s="13" t="n">
        <f aca="false">IFERROR(I270/H270,"")</f>
        <v>0.731470230862698</v>
      </c>
      <c r="K270" s="12" t="n">
        <v>29.04</v>
      </c>
      <c r="L270" s="12" t="n">
        <f aca="false">K270-D270</f>
        <v>20.2</v>
      </c>
      <c r="M270" s="13" t="n">
        <f aca="false">IFERROR(L270/K270,"")</f>
        <v>0.695592286501377</v>
      </c>
      <c r="N270" s="12" t="n">
        <v>26.15</v>
      </c>
      <c r="O270" s="12" t="n">
        <f aca="false">N270-D270</f>
        <v>17.31</v>
      </c>
      <c r="P270" s="13" t="n">
        <f aca="false">IFERROR(O270/N270,"")</f>
        <v>0.661950286806883</v>
      </c>
      <c r="Q270" s="12" t="n">
        <v>25.17</v>
      </c>
      <c r="R270" s="12" t="n">
        <f aca="false">Q270-D270</f>
        <v>16.33</v>
      </c>
      <c r="S270" s="13" t="n">
        <f aca="false">IFERROR(R270/Q270,"")</f>
        <v>0.648788239968216</v>
      </c>
    </row>
    <row r="271" customFormat="false" ht="15" hidden="false" customHeight="false" outlineLevel="0" collapsed="false">
      <c r="A271" s="6" t="s">
        <v>358</v>
      </c>
      <c r="B271" s="7" t="s">
        <v>25</v>
      </c>
      <c r="C271" s="6" t="s">
        <v>359</v>
      </c>
      <c r="D271" s="8" t="n">
        <v>9.72</v>
      </c>
      <c r="E271" s="8" t="n">
        <v>50.99</v>
      </c>
      <c r="F271" s="8" t="n">
        <f aca="false">E271-D271</f>
        <v>41.27</v>
      </c>
      <c r="G271" s="9" t="n">
        <f aca="false">IFERROR(F271/E271,"")</f>
        <v>0.809374387134732</v>
      </c>
      <c r="H271" s="8" t="n">
        <v>34.68</v>
      </c>
      <c r="I271" s="8" t="n">
        <f aca="false">H271-D271</f>
        <v>24.96</v>
      </c>
      <c r="J271" s="9" t="n">
        <f aca="false">IFERROR(I271/H271,"")</f>
        <v>0.719723183391004</v>
      </c>
      <c r="K271" s="8" t="n">
        <v>30.29</v>
      </c>
      <c r="L271" s="8" t="n">
        <f aca="false">K271-D271</f>
        <v>20.57</v>
      </c>
      <c r="M271" s="9" t="n">
        <f aca="false">IFERROR(L271/K271,"")</f>
        <v>0.679102013865962</v>
      </c>
      <c r="N271" s="8" t="n">
        <v>29.09</v>
      </c>
      <c r="O271" s="8" t="n">
        <f aca="false">N271-D271</f>
        <v>19.37</v>
      </c>
      <c r="P271" s="9" t="n">
        <f aca="false">IFERROR(O271/N271,"")</f>
        <v>0.665864558267446</v>
      </c>
      <c r="Q271" s="8" t="n">
        <v>28.79</v>
      </c>
      <c r="R271" s="8" t="n">
        <f aca="false">Q271-D271</f>
        <v>19.07</v>
      </c>
      <c r="S271" s="9" t="n">
        <f aca="false">IFERROR(R271/Q271,"")</f>
        <v>0.662382771795762</v>
      </c>
    </row>
    <row r="272" customFormat="false" ht="15" hidden="false" customHeight="false" outlineLevel="0" collapsed="false">
      <c r="A272" s="10" t="s">
        <v>360</v>
      </c>
      <c r="B272" s="11" t="s">
        <v>27</v>
      </c>
      <c r="C272" s="10" t="s">
        <v>361</v>
      </c>
      <c r="D272" s="12" t="n">
        <v>5.86</v>
      </c>
      <c r="E272" s="12" t="n">
        <v>33.52</v>
      </c>
      <c r="F272" s="12" t="n">
        <f aca="false">E272-D272</f>
        <v>27.66</v>
      </c>
      <c r="G272" s="13" t="n">
        <f aca="false">IFERROR(F272/E272,"")</f>
        <v>0.825178997613365</v>
      </c>
      <c r="H272" s="12" t="n">
        <v>19.48</v>
      </c>
      <c r="I272" s="12" t="n">
        <f aca="false">H272-D272</f>
        <v>13.62</v>
      </c>
      <c r="J272" s="13" t="n">
        <f aca="false">IFERROR(I272/H272,"")</f>
        <v>0.69917864476386</v>
      </c>
      <c r="K272" s="12" t="n">
        <v>13.16</v>
      </c>
      <c r="L272" s="12" t="n">
        <f aca="false">K272-D272</f>
        <v>7.3</v>
      </c>
      <c r="M272" s="13" t="n">
        <f aca="false">IFERROR(L272/K272,"")</f>
        <v>0.554711246200608</v>
      </c>
      <c r="N272" s="12" t="n">
        <v>10</v>
      </c>
      <c r="O272" s="12" t="n">
        <f aca="false">N272-D272</f>
        <v>4.14</v>
      </c>
      <c r="P272" s="13" t="n">
        <f aca="false">IFERROR(O272/N272,"")</f>
        <v>0.414</v>
      </c>
      <c r="Q272" s="12" t="n">
        <v>9.22</v>
      </c>
      <c r="R272" s="12" t="n">
        <f aca="false">Q272-D272</f>
        <v>3.36</v>
      </c>
      <c r="S272" s="13" t="n">
        <f aca="false">IFERROR(R272/Q272,"")</f>
        <v>0.364425162689805</v>
      </c>
    </row>
    <row r="273" customFormat="false" ht="15" hidden="false" customHeight="false" outlineLevel="0" collapsed="false">
      <c r="A273" s="6" t="s">
        <v>360</v>
      </c>
      <c r="B273" s="7" t="s">
        <v>23</v>
      </c>
      <c r="C273" s="6" t="s">
        <v>361</v>
      </c>
      <c r="D273" s="8" t="n">
        <v>7.63</v>
      </c>
      <c r="E273" s="8" t="n">
        <v>36.33</v>
      </c>
      <c r="F273" s="8" t="n">
        <f aca="false">E273-D273</f>
        <v>28.7</v>
      </c>
      <c r="G273" s="9" t="n">
        <f aca="false">IFERROR(F273/E273,"")</f>
        <v>0.789980732177264</v>
      </c>
      <c r="H273" s="8" t="n">
        <v>20.99</v>
      </c>
      <c r="I273" s="8" t="n">
        <f aca="false">H273-D273</f>
        <v>13.36</v>
      </c>
      <c r="J273" s="9" t="n">
        <f aca="false">IFERROR(I273/H273,"")</f>
        <v>0.636493568365889</v>
      </c>
      <c r="K273" s="8" t="n">
        <v>15.7</v>
      </c>
      <c r="L273" s="8" t="n">
        <f aca="false">K273-D273</f>
        <v>8.07</v>
      </c>
      <c r="M273" s="9" t="n">
        <f aca="false">IFERROR(L273/K273,"")</f>
        <v>0.514012738853503</v>
      </c>
      <c r="N273" s="8" t="n">
        <v>11.04</v>
      </c>
      <c r="O273" s="8" t="n">
        <f aca="false">N273-D273</f>
        <v>3.41</v>
      </c>
      <c r="P273" s="9" t="n">
        <f aca="false">IFERROR(O273/N273,"")</f>
        <v>0.308876811594203</v>
      </c>
      <c r="Q273" s="8" t="n">
        <v>10.18</v>
      </c>
      <c r="R273" s="8" t="n">
        <f aca="false">Q273-D273</f>
        <v>2.55</v>
      </c>
      <c r="S273" s="9" t="n">
        <f aca="false">IFERROR(R273/Q273,"")</f>
        <v>0.25049115913556</v>
      </c>
    </row>
    <row r="274" customFormat="false" ht="15" hidden="false" customHeight="false" outlineLevel="0" collapsed="false">
      <c r="A274" s="10" t="s">
        <v>360</v>
      </c>
      <c r="B274" s="11" t="s">
        <v>25</v>
      </c>
      <c r="C274" s="10" t="s">
        <v>361</v>
      </c>
      <c r="D274" s="12" t="n">
        <v>8.4</v>
      </c>
      <c r="E274" s="12" t="n">
        <v>42.51</v>
      </c>
      <c r="F274" s="12" t="n">
        <f aca="false">E274-D274</f>
        <v>34.11</v>
      </c>
      <c r="G274" s="13" t="n">
        <f aca="false">IFERROR(F274/E274,"")</f>
        <v>0.802399435426958</v>
      </c>
      <c r="H274" s="12" t="n">
        <v>24.65</v>
      </c>
      <c r="I274" s="12" t="n">
        <f aca="false">H274-D274</f>
        <v>16.25</v>
      </c>
      <c r="J274" s="13" t="n">
        <f aca="false">IFERROR(I274/H274,"")</f>
        <v>0.659229208924949</v>
      </c>
      <c r="K274" s="12" t="n">
        <v>21.41</v>
      </c>
      <c r="L274" s="12" t="n">
        <f aca="false">K274-D274</f>
        <v>13.01</v>
      </c>
      <c r="M274" s="13" t="n">
        <f aca="false">IFERROR(L274/K274,"")</f>
        <v>0.607659971975712</v>
      </c>
      <c r="N274" s="12" t="n">
        <v>17.72</v>
      </c>
      <c r="O274" s="12" t="n">
        <f aca="false">N274-D274</f>
        <v>9.32</v>
      </c>
      <c r="P274" s="13" t="n">
        <f aca="false">IFERROR(O274/N274,"")</f>
        <v>0.525959367945824</v>
      </c>
      <c r="Q274" s="12" t="n">
        <v>16.82</v>
      </c>
      <c r="R274" s="12" t="n">
        <f aca="false">Q274-D274</f>
        <v>8.42</v>
      </c>
      <c r="S274" s="13" t="n">
        <f aca="false">IFERROR(R274/Q274,"")</f>
        <v>0.500594530321046</v>
      </c>
    </row>
    <row r="275" customFormat="false" ht="15" hidden="false" customHeight="false" outlineLevel="0" collapsed="false">
      <c r="A275" s="6" t="s">
        <v>362</v>
      </c>
      <c r="B275" s="7" t="s">
        <v>27</v>
      </c>
      <c r="C275" s="6" t="s">
        <v>363</v>
      </c>
      <c r="D275" s="8" t="n">
        <v>6.27</v>
      </c>
      <c r="E275" s="8" t="n">
        <v>36.91</v>
      </c>
      <c r="F275" s="8" t="n">
        <f aca="false">E275-D275</f>
        <v>30.64</v>
      </c>
      <c r="G275" s="9" t="n">
        <f aca="false">IFERROR(F275/E275,"")</f>
        <v>0.830127336765104</v>
      </c>
      <c r="H275" s="8" t="n">
        <v>23.8</v>
      </c>
      <c r="I275" s="8" t="n">
        <f aca="false">H275-D275</f>
        <v>17.53</v>
      </c>
      <c r="J275" s="9" t="n">
        <f aca="false">IFERROR(I275/H275,"")</f>
        <v>0.73655462184874</v>
      </c>
      <c r="K275" s="8" t="n">
        <v>15.65</v>
      </c>
      <c r="L275" s="8" t="n">
        <f aca="false">K275-D275</f>
        <v>9.38</v>
      </c>
      <c r="M275" s="9" t="n">
        <f aca="false">IFERROR(L275/K275,"")</f>
        <v>0.599361022364217</v>
      </c>
      <c r="N275" s="8" t="n">
        <v>13.04</v>
      </c>
      <c r="O275" s="8" t="n">
        <f aca="false">N275-D275</f>
        <v>6.77</v>
      </c>
      <c r="P275" s="9" t="n">
        <f aca="false">IFERROR(O275/N275,"")</f>
        <v>0.519171779141104</v>
      </c>
      <c r="Q275" s="8" t="n">
        <v>12.19</v>
      </c>
      <c r="R275" s="8" t="n">
        <f aca="false">Q275-D275</f>
        <v>5.92</v>
      </c>
      <c r="S275" s="9" t="n">
        <f aca="false">IFERROR(R275/Q275,"")</f>
        <v>0.485643970467596</v>
      </c>
    </row>
    <row r="276" customFormat="false" ht="15" hidden="false" customHeight="false" outlineLevel="0" collapsed="false">
      <c r="A276" s="10" t="s">
        <v>364</v>
      </c>
      <c r="B276" s="11" t="s">
        <v>23</v>
      </c>
      <c r="C276" s="10" t="s">
        <v>365</v>
      </c>
      <c r="D276" s="12" t="n">
        <v>8.21</v>
      </c>
      <c r="E276" s="12" t="n">
        <v>35.65</v>
      </c>
      <c r="F276" s="12" t="n">
        <f aca="false">E276-D276</f>
        <v>27.44</v>
      </c>
      <c r="G276" s="13" t="n">
        <f aca="false">IFERROR(F276/E276,"")</f>
        <v>0.769705469845722</v>
      </c>
      <c r="H276" s="12" t="n">
        <v>22.78</v>
      </c>
      <c r="I276" s="12" t="n">
        <f aca="false">H276-D276</f>
        <v>14.57</v>
      </c>
      <c r="J276" s="13" t="n">
        <f aca="false">IFERROR(I276/H276,"")</f>
        <v>0.639596136962248</v>
      </c>
      <c r="K276" s="12" t="n">
        <v>20.58</v>
      </c>
      <c r="L276" s="12" t="n">
        <f aca="false">K276-D276</f>
        <v>12.37</v>
      </c>
      <c r="M276" s="13" t="n">
        <f aca="false">IFERROR(L276/K276,"")</f>
        <v>0.601068999028183</v>
      </c>
      <c r="N276" s="12" t="n">
        <v>17.24</v>
      </c>
      <c r="O276" s="12" t="n">
        <f aca="false">N276-D276</f>
        <v>9.03</v>
      </c>
      <c r="P276" s="13" t="n">
        <f aca="false">IFERROR(O276/N276,"")</f>
        <v>0.523781902552204</v>
      </c>
      <c r="Q276" s="12" t="n">
        <v>15.31</v>
      </c>
      <c r="R276" s="12" t="n">
        <f aca="false">Q276-D276</f>
        <v>7.1</v>
      </c>
      <c r="S276" s="13" t="n">
        <f aca="false">IFERROR(R276/Q276,"")</f>
        <v>0.46374918354017</v>
      </c>
    </row>
    <row r="277" customFormat="false" ht="15" hidden="false" customHeight="false" outlineLevel="0" collapsed="false">
      <c r="A277" s="6" t="s">
        <v>364</v>
      </c>
      <c r="B277" s="7" t="s">
        <v>25</v>
      </c>
      <c r="C277" s="6" t="s">
        <v>365</v>
      </c>
      <c r="D277" s="8" t="n">
        <v>9.03</v>
      </c>
      <c r="E277" s="8" t="n">
        <v>33.68</v>
      </c>
      <c r="F277" s="8" t="n">
        <f aca="false">E277-D277</f>
        <v>24.65</v>
      </c>
      <c r="G277" s="9" t="n">
        <f aca="false">IFERROR(F277/E277,"")</f>
        <v>0.731888361045131</v>
      </c>
      <c r="H277" s="8" t="n">
        <v>22.01</v>
      </c>
      <c r="I277" s="8" t="n">
        <f aca="false">H277-D277</f>
        <v>12.98</v>
      </c>
      <c r="J277" s="9" t="n">
        <f aca="false">IFERROR(I277/H277,"")</f>
        <v>0.58973194002726</v>
      </c>
      <c r="K277" s="8" t="n">
        <v>21.67</v>
      </c>
      <c r="L277" s="8" t="n">
        <f aca="false">K277-D277</f>
        <v>12.64</v>
      </c>
      <c r="M277" s="9" t="n">
        <f aca="false">IFERROR(L277/K277,"")</f>
        <v>0.583294877711121</v>
      </c>
      <c r="N277" s="8" t="n">
        <v>18.16</v>
      </c>
      <c r="O277" s="8" t="n">
        <f aca="false">N277-D277</f>
        <v>9.13</v>
      </c>
      <c r="P277" s="9" t="n">
        <f aca="false">IFERROR(O277/N277,"")</f>
        <v>0.502753303964758</v>
      </c>
      <c r="Q277" s="8" t="n">
        <v>16.12</v>
      </c>
      <c r="R277" s="8" t="n">
        <f aca="false">Q277-D277</f>
        <v>7.09</v>
      </c>
      <c r="S277" s="9" t="n">
        <f aca="false">IFERROR(R277/Q277,"")</f>
        <v>0.439826302729529</v>
      </c>
    </row>
    <row r="278" customFormat="false" ht="15" hidden="false" customHeight="false" outlineLevel="0" collapsed="false">
      <c r="A278" s="10" t="s">
        <v>366</v>
      </c>
      <c r="B278" s="11" t="s">
        <v>23</v>
      </c>
      <c r="C278" s="10" t="s">
        <v>367</v>
      </c>
      <c r="D278" s="12" t="n">
        <v>8.71</v>
      </c>
      <c r="E278" s="12" t="n">
        <v>31.13</v>
      </c>
      <c r="F278" s="12" t="n">
        <f aca="false">E278-D278</f>
        <v>22.42</v>
      </c>
      <c r="G278" s="13" t="n">
        <f aca="false">IFERROR(F278/E278,"")</f>
        <v>0.72020558946354</v>
      </c>
      <c r="H278" s="12" t="n">
        <v>19.25</v>
      </c>
      <c r="I278" s="12" t="n">
        <f aca="false">H278-D278</f>
        <v>10.54</v>
      </c>
      <c r="J278" s="13" t="n">
        <f aca="false">IFERROR(I278/H278,"")</f>
        <v>0.547532467532468</v>
      </c>
      <c r="K278" s="12" t="n">
        <v>17.35</v>
      </c>
      <c r="L278" s="12" t="n">
        <f aca="false">K278-D278</f>
        <v>8.64</v>
      </c>
      <c r="M278" s="13" t="n">
        <f aca="false">IFERROR(L278/K278,"")</f>
        <v>0.497982708933718</v>
      </c>
      <c r="N278" s="12" t="n">
        <v>14.6</v>
      </c>
      <c r="O278" s="12" t="n">
        <f aca="false">N278-D278</f>
        <v>5.89</v>
      </c>
      <c r="P278" s="13" t="n">
        <f aca="false">IFERROR(O278/N278,"")</f>
        <v>0.403424657534247</v>
      </c>
      <c r="Q278" s="12" t="n">
        <v>11.18</v>
      </c>
      <c r="R278" s="12" t="n">
        <f aca="false">Q278-D278</f>
        <v>2.47</v>
      </c>
      <c r="S278" s="13" t="n">
        <f aca="false">IFERROR(R278/Q278,"")</f>
        <v>0.220930232558139</v>
      </c>
    </row>
    <row r="279" customFormat="false" ht="15" hidden="false" customHeight="false" outlineLevel="0" collapsed="false">
      <c r="A279" s="6" t="s">
        <v>366</v>
      </c>
      <c r="B279" s="7" t="s">
        <v>25</v>
      </c>
      <c r="C279" s="6" t="s">
        <v>367</v>
      </c>
      <c r="D279" s="8" t="n">
        <v>9.58</v>
      </c>
      <c r="E279" s="8" t="n">
        <v>29.41</v>
      </c>
      <c r="F279" s="8" t="n">
        <f aca="false">E279-D279</f>
        <v>19.83</v>
      </c>
      <c r="G279" s="9" t="n">
        <f aca="false">IFERROR(F279/E279,"")</f>
        <v>0.674260455627338</v>
      </c>
      <c r="H279" s="8" t="n">
        <v>18.59</v>
      </c>
      <c r="I279" s="8" t="n">
        <f aca="false">H279-D279</f>
        <v>9.01</v>
      </c>
      <c r="J279" s="9" t="n">
        <f aca="false">IFERROR(I279/H279,"")</f>
        <v>0.484669176976869</v>
      </c>
      <c r="K279" s="8" t="n">
        <v>18.28</v>
      </c>
      <c r="L279" s="8" t="n">
        <f aca="false">K279-D279</f>
        <v>8.7</v>
      </c>
      <c r="M279" s="9" t="n">
        <f aca="false">IFERROR(L279/K279,"")</f>
        <v>0.475929978118162</v>
      </c>
      <c r="N279" s="8" t="n">
        <v>15.37</v>
      </c>
      <c r="O279" s="8" t="n">
        <f aca="false">N279-D279</f>
        <v>5.79</v>
      </c>
      <c r="P279" s="9" t="n">
        <f aca="false">IFERROR(O279/N279,"")</f>
        <v>0.376707872478855</v>
      </c>
      <c r="Q279" s="8" t="n">
        <v>11.77</v>
      </c>
      <c r="R279" s="8" t="n">
        <f aca="false">Q279-D279</f>
        <v>2.19</v>
      </c>
      <c r="S279" s="9" t="n">
        <f aca="false">IFERROR(R279/Q279,"")</f>
        <v>0.18606627017842</v>
      </c>
    </row>
    <row r="280" customFormat="false" ht="15" hidden="false" customHeight="false" outlineLevel="0" collapsed="false">
      <c r="A280" s="10" t="s">
        <v>368</v>
      </c>
      <c r="B280" s="11" t="s">
        <v>23</v>
      </c>
      <c r="C280" s="10" t="s">
        <v>369</v>
      </c>
      <c r="D280" s="12" t="n">
        <v>6.73</v>
      </c>
      <c r="E280" s="12" t="n">
        <v>31.13</v>
      </c>
      <c r="F280" s="12" t="n">
        <f aca="false">E280-D280</f>
        <v>24.4</v>
      </c>
      <c r="G280" s="13" t="n">
        <f aca="false">IFERROR(F280/E280,"")</f>
        <v>0.783809829746226</v>
      </c>
      <c r="H280" s="12" t="n">
        <v>19.25</v>
      </c>
      <c r="I280" s="12" t="n">
        <f aca="false">H280-D280</f>
        <v>12.52</v>
      </c>
      <c r="J280" s="13" t="n">
        <f aca="false">IFERROR(I280/H280,"")</f>
        <v>0.65038961038961</v>
      </c>
      <c r="K280" s="12" t="n">
        <v>17.35</v>
      </c>
      <c r="L280" s="12" t="n">
        <f aca="false">K280-D280</f>
        <v>10.62</v>
      </c>
      <c r="M280" s="13" t="n">
        <f aca="false">IFERROR(L280/K280,"")</f>
        <v>0.612103746397695</v>
      </c>
      <c r="N280" s="12" t="n">
        <v>13.61</v>
      </c>
      <c r="O280" s="12" t="n">
        <f aca="false">N280-D280</f>
        <v>6.88</v>
      </c>
      <c r="P280" s="13" t="n">
        <f aca="false">IFERROR(O280/N280,"")</f>
        <v>0.505510653930933</v>
      </c>
      <c r="Q280" s="12" t="n">
        <v>10.82</v>
      </c>
      <c r="R280" s="12" t="n">
        <f aca="false">Q280-D280</f>
        <v>4.09</v>
      </c>
      <c r="S280" s="13" t="n">
        <f aca="false">IFERROR(R280/Q280,"")</f>
        <v>0.378003696857671</v>
      </c>
    </row>
    <row r="281" customFormat="false" ht="15" hidden="false" customHeight="false" outlineLevel="0" collapsed="false">
      <c r="A281" s="6" t="s">
        <v>368</v>
      </c>
      <c r="B281" s="7" t="s">
        <v>25</v>
      </c>
      <c r="C281" s="6" t="s">
        <v>369</v>
      </c>
      <c r="D281" s="8" t="n">
        <v>7.41</v>
      </c>
      <c r="E281" s="8" t="n">
        <v>29.41</v>
      </c>
      <c r="F281" s="8" t="n">
        <f aca="false">E281-D281</f>
        <v>22</v>
      </c>
      <c r="G281" s="9" t="n">
        <f aca="false">IFERROR(F281/E281,"")</f>
        <v>0.748044882692962</v>
      </c>
      <c r="H281" s="8" t="n">
        <v>18.59</v>
      </c>
      <c r="I281" s="8" t="n">
        <f aca="false">H281-D281</f>
        <v>11.18</v>
      </c>
      <c r="J281" s="9" t="n">
        <f aca="false">IFERROR(I281/H281,"")</f>
        <v>0.601398601398601</v>
      </c>
      <c r="K281" s="8" t="n">
        <v>18.28</v>
      </c>
      <c r="L281" s="8" t="n">
        <f aca="false">K281-D281</f>
        <v>10.87</v>
      </c>
      <c r="M281" s="9" t="n">
        <f aca="false">IFERROR(L281/K281,"")</f>
        <v>0.594638949671772</v>
      </c>
      <c r="N281" s="8" t="n">
        <v>14.34</v>
      </c>
      <c r="O281" s="8" t="n">
        <f aca="false">N281-D281</f>
        <v>6.93</v>
      </c>
      <c r="P281" s="9" t="n">
        <f aca="false">IFERROR(O281/N281,"")</f>
        <v>0.48326359832636</v>
      </c>
      <c r="Q281" s="8" t="n">
        <v>11.4</v>
      </c>
      <c r="R281" s="8" t="n">
        <f aca="false">Q281-D281</f>
        <v>3.99</v>
      </c>
      <c r="S281" s="9" t="n">
        <f aca="false">IFERROR(R281/Q281,"")</f>
        <v>0.35</v>
      </c>
    </row>
    <row r="282" customFormat="false" ht="15" hidden="false" customHeight="false" outlineLevel="0" collapsed="false">
      <c r="A282" s="10" t="s">
        <v>370</v>
      </c>
      <c r="B282" s="11" t="s">
        <v>23</v>
      </c>
      <c r="C282" s="10" t="s">
        <v>371</v>
      </c>
      <c r="D282" s="12" t="n">
        <v>8.17</v>
      </c>
      <c r="E282" s="12" t="n">
        <v>33.13</v>
      </c>
      <c r="F282" s="12" t="n">
        <f aca="false">E282-D282</f>
        <v>24.96</v>
      </c>
      <c r="G282" s="13" t="n">
        <f aca="false">IFERROR(F282/E282,"")</f>
        <v>0.753395713854513</v>
      </c>
      <c r="H282" s="12" t="n">
        <v>19.93</v>
      </c>
      <c r="I282" s="12" t="n">
        <f aca="false">H282-D282</f>
        <v>11.76</v>
      </c>
      <c r="J282" s="13" t="n">
        <f aca="false">IFERROR(I282/H282,"")</f>
        <v>0.590065228299047</v>
      </c>
      <c r="K282" s="12" t="n">
        <v>18.6</v>
      </c>
      <c r="L282" s="12" t="n">
        <f aca="false">K282-D282</f>
        <v>10.43</v>
      </c>
      <c r="M282" s="13" t="n">
        <f aca="false">IFERROR(L282/K282,"")</f>
        <v>0.560752688172043</v>
      </c>
      <c r="N282" s="12" t="n">
        <v>15.53</v>
      </c>
      <c r="O282" s="12" t="n">
        <f aca="false">N282-D282</f>
        <v>7.36</v>
      </c>
      <c r="P282" s="13" t="n">
        <f aca="false">IFERROR(O282/N282,"")</f>
        <v>0.473921442369607</v>
      </c>
      <c r="Q282" s="12" t="n">
        <v>14.09</v>
      </c>
      <c r="R282" s="12" t="n">
        <f aca="false">Q282-D282</f>
        <v>5.92</v>
      </c>
      <c r="S282" s="13" t="n">
        <f aca="false">IFERROR(R282/Q282,"")</f>
        <v>0.420156139105749</v>
      </c>
    </row>
    <row r="283" customFormat="false" ht="15" hidden="false" customHeight="false" outlineLevel="0" collapsed="false">
      <c r="A283" s="6" t="s">
        <v>370</v>
      </c>
      <c r="B283" s="7" t="s">
        <v>25</v>
      </c>
      <c r="C283" s="6" t="s">
        <v>371</v>
      </c>
      <c r="D283" s="8" t="n">
        <v>8.99</v>
      </c>
      <c r="E283" s="8" t="n">
        <v>31.3</v>
      </c>
      <c r="F283" s="8" t="n">
        <f aca="false">E283-D283</f>
        <v>22.31</v>
      </c>
      <c r="G283" s="9" t="n">
        <f aca="false">IFERROR(F283/E283,"")</f>
        <v>0.712779552715655</v>
      </c>
      <c r="H283" s="8" t="n">
        <v>19.25</v>
      </c>
      <c r="I283" s="8" t="n">
        <f aca="false">H283-D283</f>
        <v>10.26</v>
      </c>
      <c r="J283" s="9" t="n">
        <f aca="false">IFERROR(I283/H283,"")</f>
        <v>0.532987012987013</v>
      </c>
      <c r="K283" s="8" t="n">
        <v>19.59</v>
      </c>
      <c r="L283" s="8" t="n">
        <f aca="false">K283-D283</f>
        <v>10.6</v>
      </c>
      <c r="M283" s="9" t="n">
        <f aca="false">IFERROR(L283/K283,"")</f>
        <v>0.541092394078612</v>
      </c>
      <c r="N283" s="8" t="n">
        <v>16.36</v>
      </c>
      <c r="O283" s="8" t="n">
        <f aca="false">N283-D283</f>
        <v>7.37</v>
      </c>
      <c r="P283" s="9" t="n">
        <f aca="false">IFERROR(O283/N283,"")</f>
        <v>0.450488997555012</v>
      </c>
      <c r="Q283" s="8" t="n">
        <v>14.84</v>
      </c>
      <c r="R283" s="8" t="n">
        <f aca="false">Q283-D283</f>
        <v>5.85</v>
      </c>
      <c r="S283" s="9" t="n">
        <f aca="false">IFERROR(R283/Q283,"")</f>
        <v>0.394204851752022</v>
      </c>
    </row>
    <row r="284" customFormat="false" ht="15" hidden="false" customHeight="false" outlineLevel="0" collapsed="false">
      <c r="A284" s="10" t="s">
        <v>372</v>
      </c>
      <c r="B284" s="11" t="s">
        <v>23</v>
      </c>
      <c r="C284" s="10" t="s">
        <v>373</v>
      </c>
      <c r="D284" s="12" t="n">
        <v>8.15</v>
      </c>
      <c r="E284" s="12" t="n">
        <v>33.13</v>
      </c>
      <c r="F284" s="12" t="n">
        <f aca="false">E284-D284</f>
        <v>24.98</v>
      </c>
      <c r="G284" s="13" t="n">
        <f aca="false">IFERROR(F284/E284,"")</f>
        <v>0.753999396317537</v>
      </c>
      <c r="H284" s="12" t="n">
        <v>20.47</v>
      </c>
      <c r="I284" s="12" t="n">
        <f aca="false">H284-D284</f>
        <v>12.32</v>
      </c>
      <c r="J284" s="13" t="n">
        <f aca="false">IFERROR(I284/H284,"")</f>
        <v>0.601856375183195</v>
      </c>
      <c r="K284" s="12" t="n">
        <v>17.35</v>
      </c>
      <c r="L284" s="12" t="n">
        <f aca="false">K284-D284</f>
        <v>9.2</v>
      </c>
      <c r="M284" s="13" t="n">
        <f aca="false">IFERROR(L284/K284,"")</f>
        <v>0.530259365994236</v>
      </c>
      <c r="N284" s="12" t="n">
        <v>14.38</v>
      </c>
      <c r="O284" s="12" t="n">
        <f aca="false">N284-D284</f>
        <v>6.23</v>
      </c>
      <c r="P284" s="13" t="n">
        <f aca="false">IFERROR(O284/N284,"")</f>
        <v>0.433240611961057</v>
      </c>
      <c r="Q284" s="12" t="n">
        <v>14.27</v>
      </c>
      <c r="R284" s="12" t="n">
        <f aca="false">Q284-D284</f>
        <v>6.12</v>
      </c>
      <c r="S284" s="13" t="n">
        <f aca="false">IFERROR(R284/Q284,"")</f>
        <v>0.428871758934828</v>
      </c>
    </row>
    <row r="285" customFormat="false" ht="15" hidden="false" customHeight="false" outlineLevel="0" collapsed="false">
      <c r="A285" s="6" t="s">
        <v>372</v>
      </c>
      <c r="B285" s="7" t="s">
        <v>25</v>
      </c>
      <c r="C285" s="6" t="s">
        <v>373</v>
      </c>
      <c r="D285" s="8" t="n">
        <v>8.97</v>
      </c>
      <c r="E285" s="8" t="n">
        <v>31.3</v>
      </c>
      <c r="F285" s="8" t="n">
        <f aca="false">E285-D285</f>
        <v>22.33</v>
      </c>
      <c r="G285" s="9" t="n">
        <f aca="false">IFERROR(F285/E285,"")</f>
        <v>0.713418530351438</v>
      </c>
      <c r="H285" s="8" t="n">
        <v>19.77</v>
      </c>
      <c r="I285" s="8" t="n">
        <f aca="false">H285-D285</f>
        <v>10.8</v>
      </c>
      <c r="J285" s="9" t="n">
        <f aca="false">IFERROR(I285/H285,"")</f>
        <v>0.546282245827011</v>
      </c>
      <c r="K285" s="8" t="n">
        <v>18.28</v>
      </c>
      <c r="L285" s="8" t="n">
        <f aca="false">K285-D285</f>
        <v>9.31</v>
      </c>
      <c r="M285" s="9" t="n">
        <f aca="false">IFERROR(L285/K285,"")</f>
        <v>0.509299781181619</v>
      </c>
      <c r="N285" s="8" t="n">
        <v>15.14</v>
      </c>
      <c r="O285" s="8" t="n">
        <f aca="false">N285-D285</f>
        <v>6.17</v>
      </c>
      <c r="P285" s="9" t="n">
        <f aca="false">IFERROR(O285/N285,"")</f>
        <v>0.407529722589168</v>
      </c>
      <c r="Q285" s="8" t="n">
        <v>15.03</v>
      </c>
      <c r="R285" s="8" t="n">
        <f aca="false">Q285-D285</f>
        <v>6.06</v>
      </c>
      <c r="S285" s="9" t="n">
        <f aca="false">IFERROR(R285/Q285,"")</f>
        <v>0.403193612774451</v>
      </c>
    </row>
    <row r="286" customFormat="false" ht="15" hidden="false" customHeight="false" outlineLevel="0" collapsed="false">
      <c r="A286" s="10" t="s">
        <v>374</v>
      </c>
      <c r="B286" s="11" t="s">
        <v>23</v>
      </c>
      <c r="C286" s="10" t="s">
        <v>375</v>
      </c>
      <c r="D286" s="12" t="n">
        <v>8.87</v>
      </c>
      <c r="E286" s="12" t="n">
        <v>38.71</v>
      </c>
      <c r="F286" s="12" t="n">
        <f aca="false">E286-D286</f>
        <v>29.84</v>
      </c>
      <c r="G286" s="13" t="n">
        <f aca="false">IFERROR(F286/E286,"")</f>
        <v>0.77086024283131</v>
      </c>
      <c r="H286" s="12" t="n">
        <v>23.16</v>
      </c>
      <c r="I286" s="12" t="n">
        <f aca="false">H286-D286</f>
        <v>14.29</v>
      </c>
      <c r="J286" s="13" t="n">
        <f aca="false">IFERROR(I286/H286,"")</f>
        <v>0.617012089810017</v>
      </c>
      <c r="K286" s="12" t="n">
        <v>22.26</v>
      </c>
      <c r="L286" s="12" t="n">
        <f aca="false">K286-D286</f>
        <v>13.39</v>
      </c>
      <c r="M286" s="13" t="n">
        <f aca="false">IFERROR(L286/K286,"")</f>
        <v>0.601527403414196</v>
      </c>
      <c r="N286" s="12" t="n">
        <v>18.38</v>
      </c>
      <c r="O286" s="12" t="n">
        <f aca="false">N286-D286</f>
        <v>9.51</v>
      </c>
      <c r="P286" s="13" t="n">
        <f aca="false">IFERROR(O286/N286,"")</f>
        <v>0.517410228509249</v>
      </c>
      <c r="Q286" s="12" t="n">
        <v>16.96</v>
      </c>
      <c r="R286" s="12" t="n">
        <f aca="false">Q286-D286</f>
        <v>8.09</v>
      </c>
      <c r="S286" s="13" t="n">
        <f aca="false">IFERROR(R286/Q286,"")</f>
        <v>0.477004716981132</v>
      </c>
    </row>
    <row r="287" customFormat="false" ht="15" hidden="false" customHeight="false" outlineLevel="0" collapsed="false">
      <c r="A287" s="6" t="s">
        <v>376</v>
      </c>
      <c r="B287" s="7" t="s">
        <v>27</v>
      </c>
      <c r="C287" s="6" t="s">
        <v>377</v>
      </c>
      <c r="D287" s="8" t="n">
        <v>5.96</v>
      </c>
      <c r="E287" s="8" t="n">
        <v>44</v>
      </c>
      <c r="F287" s="8" t="n">
        <f aca="false">E287-D287</f>
        <v>38.04</v>
      </c>
      <c r="G287" s="9" t="n">
        <f aca="false">IFERROR(F287/E287,"")</f>
        <v>0.864545454545455</v>
      </c>
      <c r="H287" s="8" t="n">
        <v>21.62</v>
      </c>
      <c r="I287" s="8" t="n">
        <f aca="false">H287-D287</f>
        <v>15.66</v>
      </c>
      <c r="J287" s="9" t="n">
        <f aca="false">IFERROR(I287/H287,"")</f>
        <v>0.724329324699352</v>
      </c>
      <c r="K287" s="8" t="n">
        <v>17</v>
      </c>
      <c r="L287" s="8" t="n">
        <f aca="false">K287-D287</f>
        <v>11.04</v>
      </c>
      <c r="M287" s="9" t="n">
        <f aca="false">IFERROR(L287/K287,"")</f>
        <v>0.649411764705882</v>
      </c>
      <c r="N287" s="8" t="n">
        <v>14.04</v>
      </c>
      <c r="O287" s="8" t="n">
        <f aca="false">N287-D287</f>
        <v>8.08</v>
      </c>
      <c r="P287" s="9" t="n">
        <f aca="false">IFERROR(O287/N287,"")</f>
        <v>0.575498575498575</v>
      </c>
      <c r="Q287" s="8" t="n">
        <v>12.85</v>
      </c>
      <c r="R287" s="8" t="n">
        <f aca="false">Q287-D287</f>
        <v>6.89</v>
      </c>
      <c r="S287" s="9" t="n">
        <f aca="false">IFERROR(R287/Q287,"")</f>
        <v>0.536186770428016</v>
      </c>
    </row>
    <row r="288" customFormat="false" ht="15" hidden="false" customHeight="false" outlineLevel="0" collapsed="false">
      <c r="A288" s="10" t="s">
        <v>376</v>
      </c>
      <c r="B288" s="11" t="s">
        <v>23</v>
      </c>
      <c r="C288" s="10" t="s">
        <v>377</v>
      </c>
      <c r="D288" s="12" t="n">
        <v>7.78</v>
      </c>
      <c r="E288" s="12" t="n">
        <v>44.99</v>
      </c>
      <c r="F288" s="12" t="n">
        <f aca="false">E288-D288</f>
        <v>37.21</v>
      </c>
      <c r="G288" s="13" t="n">
        <f aca="false">IFERROR(F288/E288,"")</f>
        <v>0.827072682818404</v>
      </c>
      <c r="H288" s="12" t="n">
        <v>27.99</v>
      </c>
      <c r="I288" s="12" t="n">
        <f aca="false">H288-D288</f>
        <v>20.21</v>
      </c>
      <c r="J288" s="13" t="n">
        <f aca="false">IFERROR(I288/H288,"")</f>
        <v>0.722043586995355</v>
      </c>
      <c r="K288" s="12" t="n">
        <v>21.82</v>
      </c>
      <c r="L288" s="12" t="n">
        <f aca="false">K288-D288</f>
        <v>14.04</v>
      </c>
      <c r="M288" s="13" t="n">
        <f aca="false">IFERROR(L288/K288,"")</f>
        <v>0.643446379468378</v>
      </c>
      <c r="N288" s="12" t="n">
        <v>20.36</v>
      </c>
      <c r="O288" s="12" t="n">
        <f aca="false">N288-D288</f>
        <v>12.58</v>
      </c>
      <c r="P288" s="13" t="n">
        <f aca="false">IFERROR(O288/N288,"")</f>
        <v>0.617878192534381</v>
      </c>
      <c r="Q288" s="12" t="n">
        <v>19.22</v>
      </c>
      <c r="R288" s="12" t="n">
        <f aca="false">Q288-D288</f>
        <v>11.44</v>
      </c>
      <c r="S288" s="13" t="n">
        <f aca="false">IFERROR(R288/Q288,"")</f>
        <v>0.595213319458897</v>
      </c>
    </row>
    <row r="289" customFormat="false" ht="15" hidden="false" customHeight="false" outlineLevel="0" collapsed="false">
      <c r="A289" s="6" t="s">
        <v>376</v>
      </c>
      <c r="B289" s="7" t="s">
        <v>25</v>
      </c>
      <c r="C289" s="6" t="s">
        <v>377</v>
      </c>
      <c r="D289" s="8" t="n">
        <v>8.55</v>
      </c>
      <c r="E289" s="8" t="n">
        <v>41.64</v>
      </c>
      <c r="F289" s="8" t="n">
        <f aca="false">E289-D289</f>
        <v>33.09</v>
      </c>
      <c r="G289" s="9" t="n">
        <f aca="false">IFERROR(F289/E289,"")</f>
        <v>0.794668587896254</v>
      </c>
      <c r="H289" s="8" t="n">
        <v>24.65</v>
      </c>
      <c r="I289" s="8" t="n">
        <f aca="false">H289-D289</f>
        <v>16.1</v>
      </c>
      <c r="J289" s="9" t="n">
        <f aca="false">IFERROR(I289/H289,"")</f>
        <v>0.65314401622718</v>
      </c>
      <c r="K289" s="8" t="n">
        <v>19.56</v>
      </c>
      <c r="L289" s="8" t="n">
        <f aca="false">K289-D289</f>
        <v>11.01</v>
      </c>
      <c r="M289" s="9" t="n">
        <f aca="false">IFERROR(L289/K289,"")</f>
        <v>0.562883435582822</v>
      </c>
      <c r="N289" s="8" t="n">
        <v>18.12</v>
      </c>
      <c r="O289" s="8" t="n">
        <f aca="false">N289-D289</f>
        <v>9.57</v>
      </c>
      <c r="P289" s="9" t="n">
        <f aca="false">IFERROR(O289/N289,"")</f>
        <v>0.528145695364238</v>
      </c>
      <c r="Q289" s="8" t="n">
        <v>18.05</v>
      </c>
      <c r="R289" s="8" t="n">
        <f aca="false">Q289-D289</f>
        <v>9.5</v>
      </c>
      <c r="S289" s="9" t="n">
        <f aca="false">IFERROR(R289/Q289,"")</f>
        <v>0.526315789473684</v>
      </c>
    </row>
    <row r="290" customFormat="false" ht="15" hidden="false" customHeight="false" outlineLevel="0" collapsed="false">
      <c r="A290" s="10" t="s">
        <v>378</v>
      </c>
      <c r="B290" s="11" t="s">
        <v>27</v>
      </c>
      <c r="C290" s="10" t="s">
        <v>379</v>
      </c>
      <c r="D290" s="12" t="n">
        <v>6.29</v>
      </c>
      <c r="E290" s="12" t="n">
        <v>48</v>
      </c>
      <c r="F290" s="12" t="n">
        <f aca="false">E290-D290</f>
        <v>41.71</v>
      </c>
      <c r="G290" s="13" t="n">
        <f aca="false">IFERROR(F290/E290,"")</f>
        <v>0.868958333333333</v>
      </c>
      <c r="H290" s="12" t="n">
        <v>22.04</v>
      </c>
      <c r="I290" s="12" t="n">
        <f aca="false">H290-D290</f>
        <v>15.75</v>
      </c>
      <c r="J290" s="13" t="n">
        <f aca="false">IFERROR(I290/H290,"")</f>
        <v>0.714609800362976</v>
      </c>
      <c r="K290" s="12" t="n">
        <v>18.75</v>
      </c>
      <c r="L290" s="12" t="n">
        <f aca="false">K290-D290</f>
        <v>12.46</v>
      </c>
      <c r="M290" s="13" t="n">
        <f aca="false">IFERROR(L290/K290,"")</f>
        <v>0.664533333333333</v>
      </c>
      <c r="N290" s="12" t="n">
        <v>18.91</v>
      </c>
      <c r="O290" s="12" t="n">
        <f aca="false">N290-D290</f>
        <v>12.62</v>
      </c>
      <c r="P290" s="13" t="n">
        <f aca="false">IFERROR(O290/N290,"")</f>
        <v>0.66737176097303</v>
      </c>
      <c r="Q290" s="12" t="n">
        <v>17.69</v>
      </c>
      <c r="R290" s="12" t="n">
        <f aca="false">Q290-D290</f>
        <v>11.4</v>
      </c>
      <c r="S290" s="13" t="n">
        <f aca="false">IFERROR(R290/Q290,"")</f>
        <v>0.644431882419446</v>
      </c>
    </row>
    <row r="291" customFormat="false" ht="15" hidden="false" customHeight="false" outlineLevel="0" collapsed="false">
      <c r="A291" s="6" t="s">
        <v>380</v>
      </c>
      <c r="B291" s="7" t="s">
        <v>23</v>
      </c>
      <c r="C291" s="6" t="s">
        <v>381</v>
      </c>
      <c r="D291" s="8" t="n">
        <v>8.98</v>
      </c>
      <c r="E291" s="8" t="n">
        <v>39.29</v>
      </c>
      <c r="F291" s="8" t="n">
        <f aca="false">E291-D291</f>
        <v>30.31</v>
      </c>
      <c r="G291" s="9" t="n">
        <f aca="false">IFERROR(F291/E291,"")</f>
        <v>0.771443115296513</v>
      </c>
      <c r="H291" s="8" t="n">
        <v>23</v>
      </c>
      <c r="I291" s="8" t="n">
        <f aca="false">H291-D291</f>
        <v>14.02</v>
      </c>
      <c r="J291" s="9" t="n">
        <f aca="false">IFERROR(I291/H291,"")</f>
        <v>0.609565217391304</v>
      </c>
      <c r="K291" s="8" t="n">
        <v>18.41</v>
      </c>
      <c r="L291" s="8" t="n">
        <f aca="false">K291-D291</f>
        <v>9.43</v>
      </c>
      <c r="M291" s="9" t="n">
        <f aca="false">IFERROR(L291/K291,"")</f>
        <v>0.512221618685497</v>
      </c>
      <c r="N291" s="8" t="n">
        <v>16.97</v>
      </c>
      <c r="O291" s="8" t="n">
        <f aca="false">N291-D291</f>
        <v>7.99</v>
      </c>
      <c r="P291" s="9" t="n">
        <f aca="false">IFERROR(O291/N291,"")</f>
        <v>0.470830878020035</v>
      </c>
      <c r="Q291" s="8" t="n">
        <v>16.88</v>
      </c>
      <c r="R291" s="8" t="n">
        <f aca="false">Q291-D291</f>
        <v>7.9</v>
      </c>
      <c r="S291" s="9" t="n">
        <f aca="false">IFERROR(R291/Q291,"")</f>
        <v>0.468009478672986</v>
      </c>
    </row>
    <row r="292" customFormat="false" ht="15" hidden="false" customHeight="false" outlineLevel="0" collapsed="false">
      <c r="A292" s="10" t="s">
        <v>380</v>
      </c>
      <c r="B292" s="11" t="s">
        <v>25</v>
      </c>
      <c r="C292" s="10" t="s">
        <v>381</v>
      </c>
      <c r="D292" s="12" t="n">
        <v>9.88</v>
      </c>
      <c r="E292" s="12" t="n">
        <v>42.51</v>
      </c>
      <c r="F292" s="12" t="n">
        <f aca="false">E292-D292</f>
        <v>32.63</v>
      </c>
      <c r="G292" s="13" t="n">
        <f aca="false">IFERROR(F292/E292,"")</f>
        <v>0.767584097859327</v>
      </c>
      <c r="H292" s="12" t="n">
        <v>24.35</v>
      </c>
      <c r="I292" s="12" t="n">
        <f aca="false">H292-D292</f>
        <v>14.47</v>
      </c>
      <c r="J292" s="13" t="n">
        <f aca="false">IFERROR(I292/H292,"")</f>
        <v>0.594250513347023</v>
      </c>
      <c r="K292" s="12" t="n">
        <v>20.61</v>
      </c>
      <c r="L292" s="12" t="n">
        <f aca="false">K292-D292</f>
        <v>10.73</v>
      </c>
      <c r="M292" s="13" t="n">
        <f aca="false">IFERROR(L292/K292,"")</f>
        <v>0.520621057738962</v>
      </c>
      <c r="N292" s="12" t="n">
        <v>16.38</v>
      </c>
      <c r="O292" s="12" t="n">
        <f aca="false">N292-D292</f>
        <v>6.5</v>
      </c>
      <c r="P292" s="13" t="n">
        <f aca="false">IFERROR(O292/N292,"")</f>
        <v>0.396825396825397</v>
      </c>
      <c r="Q292" s="12" t="n">
        <v>18.4</v>
      </c>
      <c r="R292" s="12" t="n">
        <f aca="false">Q292-D292</f>
        <v>8.52</v>
      </c>
      <c r="S292" s="13" t="n">
        <f aca="false">IFERROR(R292/Q292,"")</f>
        <v>0.46304347826087</v>
      </c>
    </row>
    <row r="293" customFormat="false" ht="15" hidden="false" customHeight="false" outlineLevel="0" collapsed="false">
      <c r="A293" s="6" t="s">
        <v>382</v>
      </c>
      <c r="B293" s="7" t="s">
        <v>23</v>
      </c>
      <c r="C293" s="6" t="s">
        <v>383</v>
      </c>
      <c r="D293" s="8" t="n">
        <v>8.96</v>
      </c>
      <c r="E293" s="8" t="n">
        <v>40</v>
      </c>
      <c r="F293" s="8" t="n">
        <f aca="false">E293-D293</f>
        <v>31.04</v>
      </c>
      <c r="G293" s="9" t="n">
        <f aca="false">IFERROR(F293/E293,"")</f>
        <v>0.776</v>
      </c>
      <c r="H293" s="8" t="n">
        <v>27.5</v>
      </c>
      <c r="I293" s="8" t="n">
        <f aca="false">H293-D293</f>
        <v>18.54</v>
      </c>
      <c r="J293" s="9" t="n">
        <f aca="false">IFERROR(I293/H293,"")</f>
        <v>0.674181818181818</v>
      </c>
      <c r="K293" s="8" t="n">
        <v>19.39</v>
      </c>
      <c r="L293" s="8" t="n">
        <f aca="false">K293-D293</f>
        <v>10.43</v>
      </c>
      <c r="M293" s="9" t="n">
        <f aca="false">IFERROR(L293/K293,"")</f>
        <v>0.537906137184116</v>
      </c>
      <c r="N293" s="8" t="n">
        <v>16.16</v>
      </c>
      <c r="O293" s="8" t="n">
        <f aca="false">N293-D293</f>
        <v>7.2</v>
      </c>
      <c r="P293" s="9" t="n">
        <f aca="false">IFERROR(O293/N293,"")</f>
        <v>0.445544554455446</v>
      </c>
      <c r="Q293" s="8" t="n">
        <v>16.16</v>
      </c>
      <c r="R293" s="8" t="n">
        <f aca="false">Q293-D293</f>
        <v>7.2</v>
      </c>
      <c r="S293" s="9" t="n">
        <f aca="false">IFERROR(R293/Q293,"")</f>
        <v>0.445544554455446</v>
      </c>
    </row>
    <row r="294" customFormat="false" ht="15" hidden="false" customHeight="false" outlineLevel="0" collapsed="false">
      <c r="A294" s="10" t="s">
        <v>382</v>
      </c>
      <c r="B294" s="11" t="s">
        <v>25</v>
      </c>
      <c r="C294" s="10" t="s">
        <v>383</v>
      </c>
      <c r="D294" s="12" t="n">
        <v>9.86</v>
      </c>
      <c r="E294" s="12" t="n">
        <v>39</v>
      </c>
      <c r="F294" s="12" t="n">
        <f aca="false">E294-D294</f>
        <v>29.14</v>
      </c>
      <c r="G294" s="13" t="n">
        <f aca="false">IFERROR(F294/E294,"")</f>
        <v>0.747179487179487</v>
      </c>
      <c r="H294" s="12" t="n">
        <v>25.5</v>
      </c>
      <c r="I294" s="12" t="n">
        <f aca="false">H294-D294</f>
        <v>15.64</v>
      </c>
      <c r="J294" s="13" t="n">
        <f aca="false">IFERROR(I294/H294,"")</f>
        <v>0.613333333333333</v>
      </c>
      <c r="K294" s="12" t="n">
        <v>20.59</v>
      </c>
      <c r="L294" s="12" t="n">
        <f aca="false">K294-D294</f>
        <v>10.73</v>
      </c>
      <c r="M294" s="13" t="n">
        <f aca="false">IFERROR(L294/K294,"")</f>
        <v>0.52112676056338</v>
      </c>
      <c r="N294" s="12" t="n">
        <v>20.32</v>
      </c>
      <c r="O294" s="12" t="n">
        <f aca="false">N294-D294</f>
        <v>10.46</v>
      </c>
      <c r="P294" s="13" t="n">
        <f aca="false">IFERROR(O294/N294,"")</f>
        <v>0.514763779527559</v>
      </c>
      <c r="Q294" s="12" t="n">
        <v>18.6</v>
      </c>
      <c r="R294" s="12" t="n">
        <f aca="false">Q294-D294</f>
        <v>8.74</v>
      </c>
      <c r="S294" s="13" t="n">
        <f aca="false">IFERROR(R294/Q294,"")</f>
        <v>0.46989247311828</v>
      </c>
    </row>
    <row r="295" customFormat="false" ht="15" hidden="false" customHeight="false" outlineLevel="0" collapsed="false">
      <c r="A295" s="6" t="s">
        <v>384</v>
      </c>
      <c r="B295" s="7" t="s">
        <v>27</v>
      </c>
      <c r="C295" s="6" t="s">
        <v>385</v>
      </c>
      <c r="D295" s="8" t="n">
        <v>6</v>
      </c>
      <c r="E295" s="8" t="n">
        <v>34.78</v>
      </c>
      <c r="F295" s="8" t="n">
        <f aca="false">E295-D295</f>
        <v>28.78</v>
      </c>
      <c r="G295" s="9" t="n">
        <f aca="false">IFERROR(F295/E295,"")</f>
        <v>0.827487061529615</v>
      </c>
      <c r="H295" s="8" t="n">
        <v>22.04</v>
      </c>
      <c r="I295" s="8" t="n">
        <f aca="false">H295-D295</f>
        <v>16.04</v>
      </c>
      <c r="J295" s="9" t="n">
        <f aca="false">IFERROR(I295/H295,"")</f>
        <v>0.727767695099819</v>
      </c>
      <c r="K295" s="8" t="n">
        <v>18.07</v>
      </c>
      <c r="L295" s="8" t="n">
        <f aca="false">K295-D295</f>
        <v>12.07</v>
      </c>
      <c r="M295" s="9" t="n">
        <f aca="false">IFERROR(L295/K295,"")</f>
        <v>0.667957941339236</v>
      </c>
      <c r="N295" s="8" t="n">
        <v>16.39</v>
      </c>
      <c r="O295" s="8" t="n">
        <f aca="false">N295-D295</f>
        <v>10.39</v>
      </c>
      <c r="P295" s="9" t="n">
        <f aca="false">IFERROR(O295/N295,"")</f>
        <v>0.63392312385601</v>
      </c>
      <c r="Q295" s="8" t="n">
        <v>15.11</v>
      </c>
      <c r="R295" s="8" t="n">
        <f aca="false">Q295-D295</f>
        <v>9.11</v>
      </c>
      <c r="S295" s="9" t="n">
        <f aca="false">IFERROR(R295/Q295,"")</f>
        <v>0.602911978821972</v>
      </c>
    </row>
    <row r="296" customFormat="false" ht="15" hidden="false" customHeight="false" outlineLevel="0" collapsed="false">
      <c r="A296" s="10" t="s">
        <v>386</v>
      </c>
      <c r="B296" s="11" t="s">
        <v>23</v>
      </c>
      <c r="C296" s="10" t="s">
        <v>387</v>
      </c>
      <c r="D296" s="12" t="n">
        <v>8.23</v>
      </c>
      <c r="E296" s="12" t="n">
        <v>38.71</v>
      </c>
      <c r="F296" s="12" t="n">
        <f aca="false">E296-D296</f>
        <v>30.48</v>
      </c>
      <c r="G296" s="13" t="n">
        <f aca="false">IFERROR(F296/E296,"")</f>
        <v>0.787393438388014</v>
      </c>
      <c r="H296" s="12" t="n">
        <v>22.62</v>
      </c>
      <c r="I296" s="12" t="n">
        <f aca="false">H296-D296</f>
        <v>14.39</v>
      </c>
      <c r="J296" s="13" t="n">
        <f aca="false">IFERROR(I296/H296,"")</f>
        <v>0.636162687886826</v>
      </c>
      <c r="K296" s="12" t="n">
        <v>21.41</v>
      </c>
      <c r="L296" s="12" t="n">
        <f aca="false">K296-D296</f>
        <v>13.18</v>
      </c>
      <c r="M296" s="13" t="n">
        <f aca="false">IFERROR(L296/K296,"")</f>
        <v>0.615600186828585</v>
      </c>
      <c r="N296" s="12" t="n">
        <v>17.67</v>
      </c>
      <c r="O296" s="12" t="n">
        <f aca="false">N296-D296</f>
        <v>9.44</v>
      </c>
      <c r="P296" s="13" t="n">
        <f aca="false">IFERROR(O296/N296,"")</f>
        <v>0.534238822863611</v>
      </c>
      <c r="Q296" s="12" t="n">
        <v>16.24</v>
      </c>
      <c r="R296" s="12" t="n">
        <f aca="false">Q296-D296</f>
        <v>8.01</v>
      </c>
      <c r="S296" s="13" t="n">
        <f aca="false">IFERROR(R296/Q296,"")</f>
        <v>0.493226600985222</v>
      </c>
    </row>
    <row r="297" customFormat="false" ht="15" hidden="false" customHeight="false" outlineLevel="0" collapsed="false">
      <c r="A297" s="6" t="s">
        <v>386</v>
      </c>
      <c r="B297" s="7" t="s">
        <v>25</v>
      </c>
      <c r="C297" s="6" t="s">
        <v>387</v>
      </c>
      <c r="D297" s="8" t="n">
        <v>9.05</v>
      </c>
      <c r="E297" s="8" t="n">
        <v>36.57</v>
      </c>
      <c r="F297" s="8" t="n">
        <f aca="false">E297-D297</f>
        <v>27.52</v>
      </c>
      <c r="G297" s="9" t="n">
        <f aca="false">IFERROR(F297/E297,"")</f>
        <v>0.752529395679519</v>
      </c>
      <c r="H297" s="8" t="n">
        <v>21.86</v>
      </c>
      <c r="I297" s="8" t="n">
        <f aca="false">H297-D297</f>
        <v>12.81</v>
      </c>
      <c r="J297" s="9" t="n">
        <f aca="false">IFERROR(I297/H297,"")</f>
        <v>0.586001829826166</v>
      </c>
      <c r="K297" s="8" t="n">
        <v>22.55</v>
      </c>
      <c r="L297" s="8" t="n">
        <f aca="false">K297-D297</f>
        <v>13.5</v>
      </c>
      <c r="M297" s="9" t="n">
        <f aca="false">IFERROR(L297/K297,"")</f>
        <v>0.598669623059867</v>
      </c>
      <c r="N297" s="8" t="n">
        <v>18.61</v>
      </c>
      <c r="O297" s="8" t="n">
        <f aca="false">N297-D297</f>
        <v>9.56</v>
      </c>
      <c r="P297" s="9" t="n">
        <f aca="false">IFERROR(O297/N297,"")</f>
        <v>0.513702310585707</v>
      </c>
      <c r="Q297" s="8" t="n">
        <v>17.1</v>
      </c>
      <c r="R297" s="8" t="n">
        <f aca="false">Q297-D297</f>
        <v>8.05</v>
      </c>
      <c r="S297" s="9" t="n">
        <f aca="false">IFERROR(R297/Q297,"")</f>
        <v>0.470760233918129</v>
      </c>
    </row>
    <row r="298" customFormat="false" ht="15" hidden="false" customHeight="false" outlineLevel="0" collapsed="false">
      <c r="A298" s="10" t="s">
        <v>388</v>
      </c>
      <c r="B298" s="11" t="s">
        <v>27</v>
      </c>
      <c r="C298" s="10" t="s">
        <v>389</v>
      </c>
      <c r="D298" s="12" t="n">
        <v>18.5</v>
      </c>
      <c r="E298" s="12" t="n">
        <v>35.72</v>
      </c>
      <c r="F298" s="12" t="n">
        <f aca="false">E298-D298</f>
        <v>17.22</v>
      </c>
      <c r="G298" s="13" t="n">
        <f aca="false">IFERROR(F298/E298,"")</f>
        <v>0.482082866741321</v>
      </c>
      <c r="H298" s="12" t="n">
        <v>30.82</v>
      </c>
      <c r="I298" s="12" t="n">
        <f aca="false">H298-D298</f>
        <v>12.32</v>
      </c>
      <c r="J298" s="13" t="n">
        <f aca="false">IFERROR(I298/H298,"")</f>
        <v>0.399740428293316</v>
      </c>
      <c r="K298" s="12" t="n">
        <v>23.97</v>
      </c>
      <c r="L298" s="12" t="n">
        <f aca="false">K298-D298</f>
        <v>5.47</v>
      </c>
      <c r="M298" s="13" t="n">
        <f aca="false">IFERROR(L298/K298,"")</f>
        <v>0.228201919065499</v>
      </c>
      <c r="N298" s="12" t="n">
        <v>23.97</v>
      </c>
      <c r="O298" s="12" t="n">
        <f aca="false">N298-D298</f>
        <v>5.47</v>
      </c>
      <c r="P298" s="13" t="n">
        <f aca="false">IFERROR(O298/N298,"")</f>
        <v>0.228201919065499</v>
      </c>
      <c r="Q298" s="12" t="n">
        <v>23.97</v>
      </c>
      <c r="R298" s="12" t="n">
        <f aca="false">Q298-D298</f>
        <v>5.47</v>
      </c>
      <c r="S298" s="13" t="n">
        <f aca="false">IFERROR(R298/Q298,"")</f>
        <v>0.228201919065499</v>
      </c>
    </row>
    <row r="299" customFormat="false" ht="15" hidden="false" customHeight="false" outlineLevel="0" collapsed="false">
      <c r="A299" s="6" t="s">
        <v>388</v>
      </c>
      <c r="B299" s="7" t="s">
        <v>23</v>
      </c>
      <c r="C299" s="6" t="s">
        <v>389</v>
      </c>
      <c r="D299" s="8" t="n">
        <v>19</v>
      </c>
      <c r="E299" s="8" t="n">
        <v>42.87</v>
      </c>
      <c r="F299" s="8" t="n">
        <f aca="false">E299-D299</f>
        <v>23.87</v>
      </c>
      <c r="G299" s="9" t="n">
        <f aca="false">IFERROR(F299/E299,"")</f>
        <v>0.556799626778633</v>
      </c>
      <c r="H299" s="8" t="n">
        <v>25.51</v>
      </c>
      <c r="I299" s="8" t="n">
        <f aca="false">H299-D299</f>
        <v>6.51</v>
      </c>
      <c r="J299" s="9" t="n">
        <f aca="false">IFERROR(I299/H299,"")</f>
        <v>0.255194041552332</v>
      </c>
      <c r="K299" s="8" t="n">
        <v>30.83</v>
      </c>
      <c r="L299" s="8" t="n">
        <f aca="false">K299-D299</f>
        <v>11.83</v>
      </c>
      <c r="M299" s="9" t="n">
        <f aca="false">IFERROR(L299/K299,"")</f>
        <v>0.383717158611742</v>
      </c>
      <c r="N299" s="8" t="n">
        <v>30.83</v>
      </c>
      <c r="O299" s="8" t="n">
        <f aca="false">N299-D299</f>
        <v>11.83</v>
      </c>
      <c r="P299" s="9" t="n">
        <f aca="false">IFERROR(O299/N299,"")</f>
        <v>0.383717158611742</v>
      </c>
      <c r="Q299" s="8" t="n">
        <v>30.83</v>
      </c>
      <c r="R299" s="8" t="n">
        <f aca="false">Q299-D299</f>
        <v>11.83</v>
      </c>
      <c r="S299" s="9" t="n">
        <f aca="false">IFERROR(R299/Q299,"")</f>
        <v>0.383717158611742</v>
      </c>
    </row>
    <row r="300" customFormat="false" ht="15" hidden="false" customHeight="false" outlineLevel="0" collapsed="false">
      <c r="A300" s="10" t="s">
        <v>388</v>
      </c>
      <c r="B300" s="11" t="s">
        <v>25</v>
      </c>
      <c r="C300" s="10" t="s">
        <v>389</v>
      </c>
      <c r="D300" s="12" t="n">
        <v>19.5</v>
      </c>
      <c r="E300" s="12" t="n">
        <v>39</v>
      </c>
      <c r="F300" s="12" t="n">
        <f aca="false">E300-D300</f>
        <v>19.5</v>
      </c>
      <c r="G300" s="13" t="n">
        <f aca="false">IFERROR(F300/E300,"")</f>
        <v>0.5</v>
      </c>
      <c r="H300" s="12" t="n">
        <v>33.44</v>
      </c>
      <c r="I300" s="12" t="n">
        <f aca="false">H300-D300</f>
        <v>13.94</v>
      </c>
      <c r="J300" s="13" t="n">
        <f aca="false">IFERROR(I300/H300,"")</f>
        <v>0.416866028708134</v>
      </c>
      <c r="K300" s="12" t="n">
        <v>31.09</v>
      </c>
      <c r="L300" s="12" t="n">
        <f aca="false">K300-D300</f>
        <v>11.59</v>
      </c>
      <c r="M300" s="13" t="n">
        <f aca="false">IFERROR(L300/K300,"")</f>
        <v>0.372788678031521</v>
      </c>
      <c r="N300" s="12" t="n">
        <v>31.09</v>
      </c>
      <c r="O300" s="12" t="n">
        <f aca="false">N300-D300</f>
        <v>11.59</v>
      </c>
      <c r="P300" s="13" t="n">
        <f aca="false">IFERROR(O300/N300,"")</f>
        <v>0.372788678031521</v>
      </c>
      <c r="Q300" s="12" t="n">
        <v>31.09</v>
      </c>
      <c r="R300" s="12" t="n">
        <f aca="false">Q300-D300</f>
        <v>11.59</v>
      </c>
      <c r="S300" s="13" t="n">
        <f aca="false">IFERROR(R300/Q300,"")</f>
        <v>0.372788678031521</v>
      </c>
    </row>
    <row r="301" customFormat="false" ht="15" hidden="false" customHeight="false" outlineLevel="0" collapsed="false">
      <c r="A301" s="6" t="s">
        <v>390</v>
      </c>
      <c r="B301" s="7" t="s">
        <v>27</v>
      </c>
      <c r="C301" s="6" t="s">
        <v>391</v>
      </c>
      <c r="D301" s="8" t="n">
        <v>18.5</v>
      </c>
      <c r="E301" s="8" t="n">
        <v>35.72</v>
      </c>
      <c r="F301" s="8" t="n">
        <f aca="false">E301-D301</f>
        <v>17.22</v>
      </c>
      <c r="G301" s="9" t="n">
        <f aca="false">IFERROR(F301/E301,"")</f>
        <v>0.482082866741321</v>
      </c>
      <c r="H301" s="8" t="n">
        <v>21.25</v>
      </c>
      <c r="I301" s="8" t="n">
        <f aca="false">H301-D301</f>
        <v>2.75</v>
      </c>
      <c r="J301" s="9" t="n">
        <f aca="false">IFERROR(I301/H301,"")</f>
        <v>0.129411764705882</v>
      </c>
      <c r="K301" s="8" t="n">
        <v>20.83</v>
      </c>
      <c r="L301" s="8" t="n">
        <f aca="false">K301-D301</f>
        <v>2.33</v>
      </c>
      <c r="M301" s="9" t="n">
        <f aca="false">IFERROR(L301/K301,"")</f>
        <v>0.111857897263562</v>
      </c>
      <c r="N301" s="8" t="n">
        <v>23.46</v>
      </c>
      <c r="O301" s="8" t="n">
        <f aca="false">N301-D301</f>
        <v>4.96</v>
      </c>
      <c r="P301" s="9" t="n">
        <f aca="false">IFERROR(O301/N301,"")</f>
        <v>0.211423699914749</v>
      </c>
      <c r="Q301" s="8" t="n">
        <v>23.46</v>
      </c>
      <c r="R301" s="8" t="n">
        <f aca="false">Q301-D301</f>
        <v>4.96</v>
      </c>
      <c r="S301" s="9" t="n">
        <f aca="false">IFERROR(R301/Q301,"")</f>
        <v>0.211423699914749</v>
      </c>
    </row>
    <row r="302" customFormat="false" ht="15" hidden="false" customHeight="false" outlineLevel="0" collapsed="false">
      <c r="A302" s="10" t="s">
        <v>390</v>
      </c>
      <c r="B302" s="11" t="s">
        <v>23</v>
      </c>
      <c r="C302" s="10" t="s">
        <v>391</v>
      </c>
      <c r="D302" s="12" t="n">
        <v>19</v>
      </c>
      <c r="E302" s="12" t="n">
        <v>42.87</v>
      </c>
      <c r="F302" s="12" t="n">
        <f aca="false">E302-D302</f>
        <v>23.87</v>
      </c>
      <c r="G302" s="13" t="n">
        <f aca="false">IFERROR(F302/E302,"")</f>
        <v>0.556799626778633</v>
      </c>
      <c r="H302" s="12" t="n">
        <v>34.28</v>
      </c>
      <c r="I302" s="12" t="n">
        <f aca="false">H302-D302</f>
        <v>15.28</v>
      </c>
      <c r="J302" s="13" t="n">
        <f aca="false">IFERROR(I302/H302,"")</f>
        <v>0.445740956826138</v>
      </c>
      <c r="K302" s="12" t="n">
        <v>25.76</v>
      </c>
      <c r="L302" s="12" t="n">
        <f aca="false">K302-D302</f>
        <v>6.76</v>
      </c>
      <c r="M302" s="13" t="n">
        <f aca="false">IFERROR(L302/K302,"")</f>
        <v>0.262422360248447</v>
      </c>
      <c r="N302" s="12" t="n">
        <v>25.76</v>
      </c>
      <c r="O302" s="12" t="n">
        <f aca="false">N302-D302</f>
        <v>6.76</v>
      </c>
      <c r="P302" s="13" t="n">
        <f aca="false">IFERROR(O302/N302,"")</f>
        <v>0.262422360248447</v>
      </c>
      <c r="Q302" s="12" t="n">
        <v>25.76</v>
      </c>
      <c r="R302" s="12" t="n">
        <f aca="false">Q302-D302</f>
        <v>6.76</v>
      </c>
      <c r="S302" s="13" t="n">
        <f aca="false">IFERROR(R302/Q302,"")</f>
        <v>0.262422360248447</v>
      </c>
    </row>
    <row r="303" customFormat="false" ht="15" hidden="false" customHeight="false" outlineLevel="0" collapsed="false">
      <c r="A303" s="6" t="s">
        <v>390</v>
      </c>
      <c r="B303" s="7" t="s">
        <v>25</v>
      </c>
      <c r="C303" s="6" t="s">
        <v>391</v>
      </c>
      <c r="D303" s="8" t="n">
        <v>19.5</v>
      </c>
      <c r="E303" s="8" t="n">
        <v>39</v>
      </c>
      <c r="F303" s="8" t="n">
        <f aca="false">E303-D303</f>
        <v>19.5</v>
      </c>
      <c r="G303" s="9" t="n">
        <f aca="false">IFERROR(F303/E303,"")</f>
        <v>0.5</v>
      </c>
      <c r="H303" s="8" t="n">
        <v>40.83</v>
      </c>
      <c r="I303" s="8" t="n">
        <f aca="false">H303-D303</f>
        <v>21.33</v>
      </c>
      <c r="J303" s="9" t="n">
        <f aca="false">IFERROR(I303/H303,"")</f>
        <v>0.522409992652461</v>
      </c>
      <c r="K303" s="8" t="n">
        <v>27.32</v>
      </c>
      <c r="L303" s="8" t="n">
        <f aca="false">K303-D303</f>
        <v>7.82</v>
      </c>
      <c r="M303" s="9" t="n">
        <f aca="false">IFERROR(L303/K303,"")</f>
        <v>0.286237188872621</v>
      </c>
      <c r="N303" s="8" t="n">
        <v>27.32</v>
      </c>
      <c r="O303" s="8" t="n">
        <f aca="false">N303-D303</f>
        <v>7.82</v>
      </c>
      <c r="P303" s="9" t="n">
        <f aca="false">IFERROR(O303/N303,"")</f>
        <v>0.286237188872621</v>
      </c>
      <c r="Q303" s="8" t="n">
        <v>27.32</v>
      </c>
      <c r="R303" s="8" t="n">
        <f aca="false">Q303-D303</f>
        <v>7.82</v>
      </c>
      <c r="S303" s="9" t="n">
        <f aca="false">IFERROR(R303/Q303,"")</f>
        <v>0.286237188872621</v>
      </c>
    </row>
  </sheetData>
  <autoFilter ref="A4:S303"/>
  <mergeCells count="2">
    <mergeCell ref="A1:S1"/>
    <mergeCell ref="A2:S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
    <col collapsed="false" customWidth="true" hidden="false" outlineLevel="0" max="3" min="3" style="0" width="16"/>
    <col collapsed="false" customWidth="true" hidden="false" outlineLevel="0" max="4" min="4" style="0" width="13"/>
    <col collapsed="false" customWidth="true" hidden="false" outlineLevel="0" max="5" min="5" style="0" width="15"/>
    <col collapsed="false" customWidth="true" hidden="false" outlineLevel="0" max="6" min="6" style="0" width="12"/>
    <col collapsed="false" customWidth="true" hidden="false" outlineLevel="0" max="10" min="7" style="0" width="15"/>
    <col collapsed="false" customWidth="true" hidden="false" outlineLevel="0" max="11" min="11" style="0" width="13"/>
    <col collapsed="false" customWidth="true" hidden="false" outlineLevel="0" max="12" min="12" style="0" width="20"/>
  </cols>
  <sheetData>
    <row r="1" customFormat="false" ht="17.35" hidden="false" customHeight="false" outlineLevel="0" collapsed="false">
      <c r="A1" s="3" t="s">
        <v>392</v>
      </c>
      <c r="B1" s="3"/>
      <c r="C1" s="3"/>
      <c r="D1" s="3"/>
      <c r="E1" s="3"/>
      <c r="F1" s="3"/>
      <c r="G1" s="3"/>
      <c r="H1" s="3"/>
      <c r="I1" s="3"/>
      <c r="J1" s="3"/>
      <c r="K1" s="3"/>
      <c r="L1" s="3"/>
    </row>
    <row r="2" customFormat="false" ht="22.35" hidden="false" customHeight="true" outlineLevel="0" collapsed="false">
      <c r="A2" s="4" t="s">
        <v>393</v>
      </c>
      <c r="B2" s="4"/>
      <c r="C2" s="4"/>
      <c r="D2" s="4"/>
      <c r="E2" s="4"/>
      <c r="F2" s="4"/>
      <c r="G2" s="4"/>
      <c r="H2" s="4"/>
      <c r="I2" s="4"/>
      <c r="J2" s="4"/>
      <c r="K2" s="4"/>
      <c r="L2" s="4"/>
    </row>
    <row r="4" customFormat="false" ht="15" hidden="false" customHeight="false" outlineLevel="0" collapsed="false">
      <c r="A4" s="14" t="s">
        <v>11</v>
      </c>
      <c r="B4" s="14" t="s">
        <v>12</v>
      </c>
      <c r="C4" s="14" t="s">
        <v>13</v>
      </c>
      <c r="D4" s="14" t="s">
        <v>14</v>
      </c>
      <c r="E4" s="14" t="s">
        <v>394</v>
      </c>
      <c r="F4" s="14" t="s">
        <v>395</v>
      </c>
      <c r="G4" s="14" t="s">
        <v>396</v>
      </c>
      <c r="H4" s="14" t="s">
        <v>397</v>
      </c>
      <c r="I4" s="14" t="s">
        <v>398</v>
      </c>
      <c r="J4" s="14" t="s">
        <v>399</v>
      </c>
      <c r="K4" s="14" t="s">
        <v>400</v>
      </c>
      <c r="L4" s="14" t="s">
        <v>401</v>
      </c>
    </row>
    <row r="5" customFormat="false" ht="15" hidden="false" customHeight="false" outlineLevel="0" collapsed="false">
      <c r="A5" s="6" t="s">
        <v>22</v>
      </c>
      <c r="B5" s="7" t="s">
        <v>23</v>
      </c>
      <c r="C5" s="6" t="s">
        <v>24</v>
      </c>
      <c r="D5" s="8" t="n">
        <v>6.48</v>
      </c>
      <c r="E5" s="8" t="n">
        <v>54.98</v>
      </c>
      <c r="F5" s="9" t="n">
        <f aca="false">IFERROR((E5-D5)/E5,"")</f>
        <v>0.882138959621681</v>
      </c>
      <c r="G5" s="8" t="n">
        <v>36.01</v>
      </c>
      <c r="H5" s="8" t="n">
        <v>26.2</v>
      </c>
      <c r="I5" s="8" t="n">
        <v>23.58</v>
      </c>
      <c r="J5" s="8" t="n">
        <v>22.7</v>
      </c>
      <c r="K5" s="6" t="s">
        <v>402</v>
      </c>
      <c r="L5" s="6" t="s">
        <v>403</v>
      </c>
    </row>
    <row r="6" customFormat="false" ht="15" hidden="false" customHeight="false" outlineLevel="0" collapsed="false">
      <c r="A6" s="15" t="s">
        <v>22</v>
      </c>
      <c r="B6" s="16" t="s">
        <v>25</v>
      </c>
      <c r="C6" s="15" t="s">
        <v>24</v>
      </c>
      <c r="D6" s="17" t="n">
        <v>7.13</v>
      </c>
      <c r="E6" s="17" t="n">
        <v>49.08</v>
      </c>
      <c r="F6" s="18" t="n">
        <f aca="false">IFERROR((E6-D6)/E6,"")</f>
        <v>0.854726976365118</v>
      </c>
      <c r="G6" s="17" t="n">
        <v>32.2</v>
      </c>
      <c r="H6" s="17" t="n">
        <v>27.58</v>
      </c>
      <c r="I6" s="17" t="n">
        <v>24.83</v>
      </c>
      <c r="J6" s="17" t="n">
        <v>23.91</v>
      </c>
      <c r="K6" s="15" t="s">
        <v>402</v>
      </c>
      <c r="L6" s="15" t="s">
        <v>403</v>
      </c>
    </row>
    <row r="7" customFormat="false" ht="15" hidden="false" customHeight="false" outlineLevel="0" collapsed="false">
      <c r="A7" s="6" t="s">
        <v>26</v>
      </c>
      <c r="B7" s="7" t="s">
        <v>27</v>
      </c>
      <c r="C7" s="6" t="s">
        <v>28</v>
      </c>
      <c r="D7" s="8" t="n">
        <v>3.93</v>
      </c>
      <c r="E7" s="8" t="n">
        <v>46.47</v>
      </c>
      <c r="F7" s="9" t="n">
        <f aca="false">IFERROR((E7-D7)/E7,"")</f>
        <v>0.915429309231763</v>
      </c>
      <c r="G7" s="8" t="n">
        <v>30.26</v>
      </c>
      <c r="H7" s="8" t="n">
        <v>20.87</v>
      </c>
      <c r="I7" s="8" t="n">
        <v>18.98</v>
      </c>
      <c r="J7" s="8" t="n">
        <v>18.27</v>
      </c>
      <c r="K7" s="6" t="s">
        <v>402</v>
      </c>
      <c r="L7" s="6" t="s">
        <v>403</v>
      </c>
    </row>
    <row r="8" customFormat="false" ht="15" hidden="false" customHeight="false" outlineLevel="0" collapsed="false">
      <c r="A8" s="15" t="s">
        <v>26</v>
      </c>
      <c r="B8" s="16" t="s">
        <v>23</v>
      </c>
      <c r="C8" s="15" t="s">
        <v>28</v>
      </c>
      <c r="D8" s="17" t="n">
        <v>4.63</v>
      </c>
      <c r="E8" s="17" t="n">
        <v>51.12</v>
      </c>
      <c r="F8" s="18" t="n">
        <f aca="false">IFERROR((E8-D8)/E8,"")</f>
        <v>0.909428794992175</v>
      </c>
      <c r="G8" s="17" t="n">
        <v>33.3</v>
      </c>
      <c r="H8" s="17" t="n">
        <v>26.2</v>
      </c>
      <c r="I8" s="17" t="n">
        <v>23.58</v>
      </c>
      <c r="J8" s="17" t="n">
        <v>22.7</v>
      </c>
      <c r="K8" s="15" t="s">
        <v>402</v>
      </c>
      <c r="L8" s="15" t="s">
        <v>403</v>
      </c>
    </row>
    <row r="9" customFormat="false" ht="15" hidden="false" customHeight="false" outlineLevel="0" collapsed="false">
      <c r="A9" s="6" t="s">
        <v>26</v>
      </c>
      <c r="B9" s="7" t="s">
        <v>25</v>
      </c>
      <c r="C9" s="6" t="s">
        <v>28</v>
      </c>
      <c r="D9" s="8" t="n">
        <v>5.09</v>
      </c>
      <c r="E9" s="8" t="n">
        <v>45.99</v>
      </c>
      <c r="F9" s="9" t="n">
        <f aca="false">IFERROR((E9-D9)/E9,"")</f>
        <v>0.889323766036095</v>
      </c>
      <c r="G9" s="8" t="n">
        <v>32.2</v>
      </c>
      <c r="H9" s="8" t="n">
        <v>27.58</v>
      </c>
      <c r="I9" s="8" t="n">
        <v>24.83</v>
      </c>
      <c r="J9" s="8" t="n">
        <v>23.91</v>
      </c>
      <c r="K9" s="6" t="s">
        <v>402</v>
      </c>
      <c r="L9" s="6" t="s">
        <v>403</v>
      </c>
    </row>
    <row r="10" customFormat="false" ht="15" hidden="false" customHeight="false" outlineLevel="0" collapsed="false">
      <c r="A10" s="15" t="s">
        <v>29</v>
      </c>
      <c r="B10" s="16" t="s">
        <v>27</v>
      </c>
      <c r="C10" s="15" t="s">
        <v>30</v>
      </c>
      <c r="D10" s="17" t="n">
        <v>5.35</v>
      </c>
      <c r="E10" s="17" t="n">
        <v>46.47</v>
      </c>
      <c r="F10" s="18" t="n">
        <f aca="false">IFERROR((E10-D10)/E10,"")</f>
        <v>0.884871960404562</v>
      </c>
      <c r="G10" s="17" t="n">
        <v>30.26</v>
      </c>
      <c r="H10" s="17" t="n">
        <v>20.87</v>
      </c>
      <c r="I10" s="17" t="n">
        <v>18.98</v>
      </c>
      <c r="J10" s="17" t="n">
        <v>18.27</v>
      </c>
      <c r="K10" s="15" t="s">
        <v>402</v>
      </c>
      <c r="L10" s="15" t="s">
        <v>403</v>
      </c>
    </row>
    <row r="11" customFormat="false" ht="15" hidden="false" customHeight="false" outlineLevel="0" collapsed="false">
      <c r="A11" s="6" t="s">
        <v>31</v>
      </c>
      <c r="B11" s="7" t="s">
        <v>27</v>
      </c>
      <c r="C11" s="6" t="s">
        <v>32</v>
      </c>
      <c r="D11" s="8" t="n">
        <v>2.81</v>
      </c>
      <c r="E11" s="8" t="n">
        <v>28.3</v>
      </c>
      <c r="F11" s="9" t="n">
        <f aca="false">IFERROR((E11-D11)/E11,"")</f>
        <v>0.900706713780919</v>
      </c>
      <c r="G11" s="8" t="n">
        <v>14.98</v>
      </c>
      <c r="H11" s="8" t="n">
        <v>7.34</v>
      </c>
      <c r="I11" s="8" t="n">
        <v>7.49</v>
      </c>
      <c r="J11" s="8" t="n">
        <v>5.82</v>
      </c>
      <c r="K11" s="6" t="s">
        <v>402</v>
      </c>
      <c r="L11" s="6" t="s">
        <v>403</v>
      </c>
    </row>
    <row r="12" customFormat="false" ht="15" hidden="false" customHeight="false" outlineLevel="0" collapsed="false">
      <c r="A12" s="15" t="s">
        <v>33</v>
      </c>
      <c r="B12" s="16" t="s">
        <v>27</v>
      </c>
      <c r="C12" s="15" t="s">
        <v>34</v>
      </c>
      <c r="D12" s="17" t="n">
        <v>3.87</v>
      </c>
      <c r="E12" s="17" t="n">
        <v>32.22</v>
      </c>
      <c r="F12" s="18" t="n">
        <f aca="false">IFERROR((E12-D12)/E12,"")</f>
        <v>0.879888268156425</v>
      </c>
      <c r="G12" s="17" t="n">
        <v>18.61</v>
      </c>
      <c r="H12" s="17" t="n">
        <v>10.76</v>
      </c>
      <c r="I12" s="17" t="n">
        <v>9.15</v>
      </c>
      <c r="J12" s="17" t="n">
        <v>8.32</v>
      </c>
      <c r="K12" s="15" t="s">
        <v>402</v>
      </c>
      <c r="L12" s="15" t="s">
        <v>403</v>
      </c>
    </row>
    <row r="13" customFormat="false" ht="15" hidden="false" customHeight="false" outlineLevel="0" collapsed="false">
      <c r="A13" s="6" t="s">
        <v>35</v>
      </c>
      <c r="B13" s="7" t="s">
        <v>27</v>
      </c>
      <c r="C13" s="6" t="s">
        <v>36</v>
      </c>
      <c r="D13" s="8" t="n">
        <v>4.07</v>
      </c>
      <c r="E13" s="8" t="n">
        <v>36.03</v>
      </c>
      <c r="F13" s="9" t="n">
        <f aca="false">IFERROR((E13-D13)/E13,"")</f>
        <v>0.887038578961976</v>
      </c>
      <c r="G13" s="8" t="n">
        <v>24.22</v>
      </c>
      <c r="H13" s="8" t="n">
        <v>11.24</v>
      </c>
      <c r="I13" s="8" t="n">
        <v>10.6</v>
      </c>
      <c r="J13" s="8" t="n">
        <v>9.6</v>
      </c>
      <c r="K13" s="6" t="s">
        <v>402</v>
      </c>
      <c r="L13" s="6" t="s">
        <v>403</v>
      </c>
    </row>
    <row r="14" customFormat="false" ht="15" hidden="false" customHeight="false" outlineLevel="0" collapsed="false">
      <c r="A14" s="15" t="s">
        <v>35</v>
      </c>
      <c r="B14" s="16" t="s">
        <v>23</v>
      </c>
      <c r="C14" s="15" t="s">
        <v>36</v>
      </c>
      <c r="D14" s="17" t="n">
        <v>4.41</v>
      </c>
      <c r="E14" s="17" t="n">
        <v>39.64</v>
      </c>
      <c r="F14" s="18" t="n">
        <f aca="false">IFERROR((E14-D14)/E14,"")</f>
        <v>0.888748738647831</v>
      </c>
      <c r="G14" s="17" t="n">
        <v>28.88</v>
      </c>
      <c r="H14" s="17" t="n">
        <v>13.34</v>
      </c>
      <c r="I14" s="17" t="n">
        <v>21.72</v>
      </c>
      <c r="J14" s="17" t="n">
        <v>12.77</v>
      </c>
      <c r="K14" s="15" t="s">
        <v>402</v>
      </c>
      <c r="L14" s="15" t="s">
        <v>403</v>
      </c>
    </row>
    <row r="15" customFormat="false" ht="15" hidden="false" customHeight="false" outlineLevel="0" collapsed="false">
      <c r="A15" s="6" t="s">
        <v>35</v>
      </c>
      <c r="B15" s="7" t="s">
        <v>25</v>
      </c>
      <c r="C15" s="6" t="s">
        <v>36</v>
      </c>
      <c r="D15" s="8" t="n">
        <v>4.85</v>
      </c>
      <c r="E15" s="8" t="n">
        <v>42.87</v>
      </c>
      <c r="F15" s="9" t="n">
        <f aca="false">IFERROR((E15-D15)/E15,"")</f>
        <v>0.886867273151388</v>
      </c>
      <c r="G15" s="8" t="n">
        <v>31.24</v>
      </c>
      <c r="H15" s="8" t="n">
        <v>14.04</v>
      </c>
      <c r="I15" s="8" t="n">
        <v>19.27</v>
      </c>
      <c r="J15" s="8" t="n">
        <v>19.14</v>
      </c>
      <c r="K15" s="6" t="s">
        <v>402</v>
      </c>
      <c r="L15" s="6" t="s">
        <v>403</v>
      </c>
    </row>
    <row r="16" customFormat="false" ht="15" hidden="false" customHeight="false" outlineLevel="0" collapsed="false">
      <c r="A16" s="15" t="s">
        <v>37</v>
      </c>
      <c r="B16" s="16" t="s">
        <v>27</v>
      </c>
      <c r="C16" s="15" t="s">
        <v>38</v>
      </c>
      <c r="D16" s="17" t="n">
        <v>3.74</v>
      </c>
      <c r="E16" s="17" t="n">
        <v>35.13</v>
      </c>
      <c r="F16" s="18" t="n">
        <f aca="false">IFERROR((E16-D16)/E16,"")</f>
        <v>0.89353828636493</v>
      </c>
      <c r="G16" s="17" t="n">
        <v>22.32</v>
      </c>
      <c r="H16" s="17" t="n">
        <v>14.28</v>
      </c>
      <c r="I16" s="17" t="n">
        <v>12.85</v>
      </c>
      <c r="J16" s="17" t="n">
        <v>12.38</v>
      </c>
      <c r="K16" s="15" t="s">
        <v>402</v>
      </c>
      <c r="L16" s="15" t="s">
        <v>403</v>
      </c>
    </row>
    <row r="17" customFormat="false" ht="15" hidden="false" customHeight="false" outlineLevel="0" collapsed="false">
      <c r="A17" s="6" t="s">
        <v>39</v>
      </c>
      <c r="B17" s="7" t="s">
        <v>27</v>
      </c>
      <c r="C17" s="6" t="s">
        <v>40</v>
      </c>
      <c r="D17" s="8" t="n">
        <v>2.95</v>
      </c>
      <c r="E17" s="8" t="n">
        <v>26.6</v>
      </c>
      <c r="F17" s="9" t="n">
        <f aca="false">IFERROR((E17-D17)/E17,"")</f>
        <v>0.889097744360902</v>
      </c>
      <c r="G17" s="8" t="n">
        <v>14.98</v>
      </c>
      <c r="H17" s="8" t="n">
        <v>7.08</v>
      </c>
      <c r="I17" s="8" t="n">
        <v>7.49</v>
      </c>
      <c r="J17" s="8" t="n">
        <v>5.51</v>
      </c>
      <c r="K17" s="6" t="s">
        <v>402</v>
      </c>
      <c r="L17" s="6" t="s">
        <v>403</v>
      </c>
    </row>
    <row r="18" customFormat="false" ht="15" hidden="false" customHeight="false" outlineLevel="0" collapsed="false">
      <c r="A18" s="15" t="s">
        <v>39</v>
      </c>
      <c r="B18" s="16" t="s">
        <v>23</v>
      </c>
      <c r="C18" s="15" t="s">
        <v>40</v>
      </c>
      <c r="D18" s="17" t="n">
        <v>2.88</v>
      </c>
      <c r="E18" s="17" t="n">
        <v>30.06</v>
      </c>
      <c r="F18" s="18" t="n">
        <f aca="false">IFERROR((E18-D18)/E18,"")</f>
        <v>0.904191616766467</v>
      </c>
      <c r="G18" s="17" t="n">
        <v>18.06</v>
      </c>
      <c r="H18" s="17" t="n">
        <v>9.44</v>
      </c>
      <c r="I18" s="17" t="n">
        <v>8.02</v>
      </c>
      <c r="J18" s="17" t="n">
        <v>8.79</v>
      </c>
      <c r="K18" s="15" t="s">
        <v>402</v>
      </c>
      <c r="L18" s="15" t="s">
        <v>403</v>
      </c>
    </row>
    <row r="19" customFormat="false" ht="15" hidden="false" customHeight="false" outlineLevel="0" collapsed="false">
      <c r="A19" s="6" t="s">
        <v>39</v>
      </c>
      <c r="B19" s="7" t="s">
        <v>25</v>
      </c>
      <c r="C19" s="6" t="s">
        <v>40</v>
      </c>
      <c r="D19" s="8" t="n">
        <v>3.17</v>
      </c>
      <c r="E19" s="8" t="n">
        <v>31.65</v>
      </c>
      <c r="F19" s="9" t="n">
        <f aca="false">IFERROR((E19-D19)/E19,"")</f>
        <v>0.899842022116904</v>
      </c>
      <c r="G19" s="8" t="n">
        <v>19.01</v>
      </c>
      <c r="H19" s="8" t="n">
        <v>9.04</v>
      </c>
      <c r="I19" s="8" t="n">
        <v>7.62</v>
      </c>
      <c r="J19" s="8" t="n">
        <v>7.22</v>
      </c>
      <c r="K19" s="6" t="s">
        <v>402</v>
      </c>
      <c r="L19" s="6" t="s">
        <v>403</v>
      </c>
    </row>
    <row r="20" customFormat="false" ht="15" hidden="false" customHeight="false" outlineLevel="0" collapsed="false">
      <c r="A20" s="15" t="s">
        <v>41</v>
      </c>
      <c r="B20" s="16" t="s">
        <v>27</v>
      </c>
      <c r="C20" s="15" t="s">
        <v>42</v>
      </c>
      <c r="D20" s="17" t="n">
        <v>2.5</v>
      </c>
      <c r="E20" s="17" t="n">
        <v>28.3</v>
      </c>
      <c r="F20" s="18" t="n">
        <f aca="false">IFERROR((E20-D20)/E20,"")</f>
        <v>0.911660777385159</v>
      </c>
      <c r="G20" s="17" t="n">
        <v>14.99</v>
      </c>
      <c r="H20" s="17" t="n">
        <v>9.79</v>
      </c>
      <c r="I20" s="17" t="n">
        <v>8.16</v>
      </c>
      <c r="J20" s="17" t="n">
        <v>8.23</v>
      </c>
      <c r="K20" s="15" t="s">
        <v>402</v>
      </c>
      <c r="L20" s="15" t="s">
        <v>403</v>
      </c>
    </row>
    <row r="21" customFormat="false" ht="15" hidden="false" customHeight="false" outlineLevel="0" collapsed="false">
      <c r="A21" s="6" t="s">
        <v>43</v>
      </c>
      <c r="B21" s="7" t="s">
        <v>27</v>
      </c>
      <c r="C21" s="6" t="s">
        <v>44</v>
      </c>
      <c r="D21" s="8" t="n">
        <v>3.48</v>
      </c>
      <c r="E21" s="8" t="n">
        <v>31.1</v>
      </c>
      <c r="F21" s="9" t="n">
        <f aca="false">IFERROR((E21-D21)/E21,"")</f>
        <v>0.888102893890675</v>
      </c>
      <c r="G21" s="8" t="n">
        <v>14.69</v>
      </c>
      <c r="H21" s="8" t="n">
        <v>9.3</v>
      </c>
      <c r="I21" s="8" t="n">
        <v>7.49</v>
      </c>
      <c r="J21" s="8" t="n">
        <v>5.97</v>
      </c>
      <c r="K21" s="6" t="s">
        <v>402</v>
      </c>
      <c r="L21" s="6" t="s">
        <v>403</v>
      </c>
    </row>
    <row r="22" customFormat="false" ht="15" hidden="false" customHeight="false" outlineLevel="0" collapsed="false">
      <c r="A22" s="15" t="s">
        <v>45</v>
      </c>
      <c r="B22" s="16" t="s">
        <v>27</v>
      </c>
      <c r="C22" s="15" t="s">
        <v>46</v>
      </c>
      <c r="D22" s="17" t="n">
        <v>3.74</v>
      </c>
      <c r="E22" s="17" t="n">
        <v>28.3</v>
      </c>
      <c r="F22" s="18" t="n">
        <f aca="false">IFERROR((E22-D22)/E22,"")</f>
        <v>0.867844522968198</v>
      </c>
      <c r="G22" s="17" t="n">
        <v>13.71</v>
      </c>
      <c r="H22" s="17" t="n">
        <v>8.81</v>
      </c>
      <c r="I22" s="17" t="n">
        <v>7.49</v>
      </c>
      <c r="J22" s="17" t="n">
        <v>6.2</v>
      </c>
      <c r="K22" s="15" t="s">
        <v>402</v>
      </c>
      <c r="L22" s="15" t="s">
        <v>403</v>
      </c>
    </row>
    <row r="23" customFormat="false" ht="15" hidden="false" customHeight="false" outlineLevel="0" collapsed="false">
      <c r="A23" s="6" t="s">
        <v>45</v>
      </c>
      <c r="B23" s="7" t="s">
        <v>23</v>
      </c>
      <c r="C23" s="6" t="s">
        <v>46</v>
      </c>
      <c r="D23" s="8" t="n">
        <v>4.01</v>
      </c>
      <c r="E23" s="8" t="n">
        <v>31.37</v>
      </c>
      <c r="F23" s="9" t="n">
        <f aca="false">IFERROR((E23-D23)/E23,"")</f>
        <v>0.87217086388269</v>
      </c>
      <c r="G23" s="8" t="n">
        <v>15.11</v>
      </c>
      <c r="H23" s="8" t="n">
        <v>10.75</v>
      </c>
      <c r="I23" s="8" t="n">
        <v>8.46</v>
      </c>
      <c r="J23" s="8" t="n">
        <v>7.01</v>
      </c>
      <c r="K23" s="6" t="s">
        <v>404</v>
      </c>
      <c r="L23" s="6" t="s">
        <v>405</v>
      </c>
    </row>
    <row r="24" customFormat="false" ht="15" hidden="false" customHeight="false" outlineLevel="0" collapsed="false">
      <c r="A24" s="15" t="s">
        <v>45</v>
      </c>
      <c r="B24" s="16" t="s">
        <v>25</v>
      </c>
      <c r="C24" s="15" t="s">
        <v>46</v>
      </c>
      <c r="D24" s="17" t="n">
        <v>4.42</v>
      </c>
      <c r="E24" s="17" t="n">
        <v>31.76</v>
      </c>
      <c r="F24" s="18" t="n">
        <f aca="false">IFERROR((E24-D24)/E24,"")</f>
        <v>0.860831234256927</v>
      </c>
      <c r="G24" s="17" t="n">
        <v>20.82</v>
      </c>
      <c r="H24" s="17" t="n">
        <v>10.4</v>
      </c>
      <c r="I24" s="17" t="n">
        <v>8.7</v>
      </c>
      <c r="J24" s="17" t="n">
        <v>8.32</v>
      </c>
      <c r="K24" s="15" t="s">
        <v>402</v>
      </c>
      <c r="L24" s="15" t="s">
        <v>405</v>
      </c>
    </row>
    <row r="25" customFormat="false" ht="15" hidden="false" customHeight="false" outlineLevel="0" collapsed="false">
      <c r="A25" s="6" t="s">
        <v>47</v>
      </c>
      <c r="B25" s="7" t="s">
        <v>27</v>
      </c>
      <c r="C25" s="6" t="s">
        <v>48</v>
      </c>
      <c r="D25" s="8" t="n">
        <v>4.5</v>
      </c>
      <c r="E25" s="8" t="n">
        <v>41.1</v>
      </c>
      <c r="F25" s="9" t="n">
        <f aca="false">IFERROR((E25-D25)/E25,"")</f>
        <v>0.89051094890511</v>
      </c>
      <c r="G25" s="8" t="n">
        <v>19.59</v>
      </c>
      <c r="H25" s="8" t="n">
        <v>11.02</v>
      </c>
      <c r="I25" s="8" t="n">
        <v>10.76</v>
      </c>
      <c r="J25" s="8" t="n">
        <v>9.29</v>
      </c>
      <c r="K25" s="6" t="s">
        <v>402</v>
      </c>
      <c r="L25" s="6" t="s">
        <v>403</v>
      </c>
    </row>
    <row r="26" customFormat="false" ht="15" hidden="false" customHeight="false" outlineLevel="0" collapsed="false">
      <c r="A26" s="15" t="s">
        <v>49</v>
      </c>
      <c r="B26" s="16" t="s">
        <v>27</v>
      </c>
      <c r="C26" s="15" t="s">
        <v>50</v>
      </c>
      <c r="D26" s="17" t="n">
        <v>4.01</v>
      </c>
      <c r="E26" s="17" t="n">
        <v>31.17</v>
      </c>
      <c r="F26" s="18" t="n">
        <f aca="false">IFERROR((E26-D26)/E26,"")</f>
        <v>0.87135065768367</v>
      </c>
      <c r="G26" s="17" t="n">
        <v>19.55</v>
      </c>
      <c r="H26" s="17" t="n">
        <v>11.89</v>
      </c>
      <c r="I26" s="17" t="n">
        <v>10.7</v>
      </c>
      <c r="J26" s="17" t="n">
        <v>10.3</v>
      </c>
      <c r="K26" s="15" t="s">
        <v>402</v>
      </c>
      <c r="L26" s="15" t="s">
        <v>403</v>
      </c>
    </row>
    <row r="27" customFormat="false" ht="15" hidden="false" customHeight="false" outlineLevel="0" collapsed="false">
      <c r="A27" s="6" t="s">
        <v>51</v>
      </c>
      <c r="B27" s="7" t="s">
        <v>27</v>
      </c>
      <c r="C27" s="6" t="s">
        <v>52</v>
      </c>
      <c r="D27" s="8" t="n">
        <v>4.03</v>
      </c>
      <c r="E27" s="8" t="n">
        <v>26.6</v>
      </c>
      <c r="F27" s="9" t="n">
        <f aca="false">IFERROR((E27-D27)/E27,"")</f>
        <v>0.848496240601504</v>
      </c>
      <c r="G27" s="8" t="n">
        <v>17.14</v>
      </c>
      <c r="H27" s="8" t="n">
        <v>11.33</v>
      </c>
      <c r="I27" s="8" t="n">
        <v>10.63</v>
      </c>
      <c r="J27" s="8" t="n">
        <v>9.53</v>
      </c>
      <c r="K27" s="6" t="s">
        <v>402</v>
      </c>
      <c r="L27" s="6" t="s">
        <v>403</v>
      </c>
    </row>
    <row r="28" customFormat="false" ht="15" hidden="false" customHeight="false" outlineLevel="0" collapsed="false">
      <c r="A28" s="15" t="s">
        <v>53</v>
      </c>
      <c r="B28" s="16" t="s">
        <v>27</v>
      </c>
      <c r="C28" s="15" t="s">
        <v>54</v>
      </c>
      <c r="D28" s="17" t="n">
        <v>3.7</v>
      </c>
      <c r="E28" s="17" t="n">
        <v>31.1</v>
      </c>
      <c r="F28" s="18" t="n">
        <f aca="false">IFERROR((E28-D28)/E28,"")</f>
        <v>0.881028938906753</v>
      </c>
      <c r="G28" s="17" t="n">
        <v>19.44</v>
      </c>
      <c r="H28" s="17" t="n">
        <v>11.61</v>
      </c>
      <c r="I28" s="17" t="n">
        <v>12.11</v>
      </c>
      <c r="J28" s="17" t="n">
        <v>11.65</v>
      </c>
      <c r="K28" s="15" t="s">
        <v>402</v>
      </c>
      <c r="L28" s="15" t="s">
        <v>403</v>
      </c>
    </row>
    <row r="29" customFormat="false" ht="15" hidden="false" customHeight="false" outlineLevel="0" collapsed="false">
      <c r="A29" s="6" t="s">
        <v>55</v>
      </c>
      <c r="B29" s="7" t="s">
        <v>27</v>
      </c>
      <c r="C29" s="6" t="s">
        <v>56</v>
      </c>
      <c r="D29" s="8" t="n">
        <v>3.36</v>
      </c>
      <c r="E29" s="8" t="n">
        <v>28.3</v>
      </c>
      <c r="F29" s="9" t="n">
        <f aca="false">IFERROR((E29-D29)/E29,"")</f>
        <v>0.881272084805654</v>
      </c>
      <c r="G29" s="8" t="n">
        <v>14.44</v>
      </c>
      <c r="H29" s="8" t="n">
        <v>7.83</v>
      </c>
      <c r="I29" s="8" t="n">
        <v>7.49</v>
      </c>
      <c r="J29" s="8" t="n">
        <v>5.74</v>
      </c>
      <c r="K29" s="6" t="s">
        <v>402</v>
      </c>
      <c r="L29" s="6" t="s">
        <v>403</v>
      </c>
    </row>
    <row r="30" customFormat="false" ht="15" hidden="false" customHeight="false" outlineLevel="0" collapsed="false">
      <c r="A30" s="15" t="s">
        <v>55</v>
      </c>
      <c r="B30" s="16" t="s">
        <v>23</v>
      </c>
      <c r="C30" s="15" t="s">
        <v>56</v>
      </c>
      <c r="D30" s="17" t="n">
        <v>3.22</v>
      </c>
      <c r="E30" s="17" t="n">
        <v>31.13</v>
      </c>
      <c r="F30" s="18" t="n">
        <f aca="false">IFERROR((E30-D30)/E30,"")</f>
        <v>0.896562801156441</v>
      </c>
      <c r="G30" s="17" t="n">
        <v>17.22</v>
      </c>
      <c r="H30" s="17" t="n">
        <v>8.97</v>
      </c>
      <c r="I30" s="17" t="n">
        <v>7.55</v>
      </c>
      <c r="J30" s="17" t="n">
        <v>7.26</v>
      </c>
      <c r="K30" s="15" t="s">
        <v>402</v>
      </c>
      <c r="L30" s="15" t="s">
        <v>403</v>
      </c>
    </row>
    <row r="31" customFormat="false" ht="15" hidden="false" customHeight="false" outlineLevel="0" collapsed="false">
      <c r="A31" s="6" t="s">
        <v>55</v>
      </c>
      <c r="B31" s="7" t="s">
        <v>25</v>
      </c>
      <c r="C31" s="6" t="s">
        <v>56</v>
      </c>
      <c r="D31" s="8" t="n">
        <v>3.54</v>
      </c>
      <c r="E31" s="8" t="n">
        <v>31.76</v>
      </c>
      <c r="F31" s="9" t="n">
        <f aca="false">IFERROR((E31-D31)/E31,"")</f>
        <v>0.888539042821159</v>
      </c>
      <c r="G31" s="8" t="n">
        <v>18.45</v>
      </c>
      <c r="H31" s="8" t="n">
        <v>9.92</v>
      </c>
      <c r="I31" s="8" t="n">
        <v>7.75</v>
      </c>
      <c r="J31" s="8" t="n">
        <v>7.57</v>
      </c>
      <c r="K31" s="6" t="s">
        <v>402</v>
      </c>
      <c r="L31" s="6" t="s">
        <v>403</v>
      </c>
    </row>
    <row r="32" customFormat="false" ht="15" hidden="false" customHeight="false" outlineLevel="0" collapsed="false">
      <c r="A32" s="15" t="s">
        <v>57</v>
      </c>
      <c r="B32" s="16" t="s">
        <v>27</v>
      </c>
      <c r="C32" s="15" t="s">
        <v>58</v>
      </c>
      <c r="D32" s="17" t="n">
        <v>3.62</v>
      </c>
      <c r="E32" s="17" t="n">
        <v>28.3</v>
      </c>
      <c r="F32" s="18" t="n">
        <f aca="false">IFERROR((E32-D32)/E32,"")</f>
        <v>0.87208480565371</v>
      </c>
      <c r="G32" s="17" t="n">
        <v>14.69</v>
      </c>
      <c r="H32" s="17" t="n">
        <v>8.57</v>
      </c>
      <c r="I32" s="17" t="n">
        <v>7.49</v>
      </c>
      <c r="J32" s="17" t="n">
        <v>7.34</v>
      </c>
      <c r="K32" s="15" t="s">
        <v>402</v>
      </c>
      <c r="L32" s="15" t="s">
        <v>403</v>
      </c>
    </row>
    <row r="33" customFormat="false" ht="15" hidden="false" customHeight="false" outlineLevel="0" collapsed="false">
      <c r="A33" s="6" t="s">
        <v>59</v>
      </c>
      <c r="B33" s="7" t="s">
        <v>27</v>
      </c>
      <c r="C33" s="6" t="s">
        <v>60</v>
      </c>
      <c r="D33" s="8" t="n">
        <v>3.74</v>
      </c>
      <c r="E33" s="8" t="n">
        <v>28.3</v>
      </c>
      <c r="F33" s="9" t="n">
        <f aca="false">IFERROR((E33-D33)/E33,"")</f>
        <v>0.867844522968198</v>
      </c>
      <c r="G33" s="8" t="n">
        <v>14.54</v>
      </c>
      <c r="H33" s="8" t="n">
        <v>8.57</v>
      </c>
      <c r="I33" s="8" t="n">
        <v>7.49</v>
      </c>
      <c r="J33" s="8" t="n">
        <v>6.23</v>
      </c>
      <c r="K33" s="6" t="s">
        <v>402</v>
      </c>
      <c r="L33" s="6" t="s">
        <v>403</v>
      </c>
    </row>
    <row r="34" customFormat="false" ht="15" hidden="false" customHeight="false" outlineLevel="0" collapsed="false">
      <c r="A34" s="15" t="s">
        <v>59</v>
      </c>
      <c r="B34" s="16" t="s">
        <v>23</v>
      </c>
      <c r="C34" s="15" t="s">
        <v>60</v>
      </c>
      <c r="D34" s="17" t="n">
        <v>3.92</v>
      </c>
      <c r="E34" s="17" t="n">
        <v>31.13</v>
      </c>
      <c r="F34" s="18" t="n">
        <f aca="false">IFERROR((E34-D34)/E34,"")</f>
        <v>0.874076453581754</v>
      </c>
      <c r="G34" s="17" t="n">
        <v>16.65</v>
      </c>
      <c r="H34" s="17" t="n">
        <v>8.49</v>
      </c>
      <c r="I34" s="17" t="n">
        <v>7.08</v>
      </c>
      <c r="J34" s="17" t="n">
        <v>7.26</v>
      </c>
      <c r="K34" s="15" t="s">
        <v>402</v>
      </c>
      <c r="L34" s="15" t="s">
        <v>403</v>
      </c>
    </row>
    <row r="35" customFormat="false" ht="15" hidden="false" customHeight="false" outlineLevel="0" collapsed="false">
      <c r="A35" s="6" t="s">
        <v>59</v>
      </c>
      <c r="B35" s="7" t="s">
        <v>25</v>
      </c>
      <c r="C35" s="6" t="s">
        <v>60</v>
      </c>
      <c r="D35" s="8" t="n">
        <v>4.32</v>
      </c>
      <c r="E35" s="8" t="n">
        <v>31.76</v>
      </c>
      <c r="F35" s="9" t="n">
        <f aca="false">IFERROR((E35-D35)/E35,"")</f>
        <v>0.863979848866499</v>
      </c>
      <c r="G35" s="8" t="n">
        <v>16.52</v>
      </c>
      <c r="H35" s="8" t="n">
        <v>9.27</v>
      </c>
      <c r="I35" s="8" t="n">
        <v>6.7</v>
      </c>
      <c r="J35" s="8" t="n">
        <v>6.87</v>
      </c>
      <c r="K35" s="6" t="s">
        <v>402</v>
      </c>
      <c r="L35" s="6" t="s">
        <v>403</v>
      </c>
    </row>
    <row r="36" customFormat="false" ht="15" hidden="false" customHeight="false" outlineLevel="0" collapsed="false">
      <c r="A36" s="15" t="s">
        <v>61</v>
      </c>
      <c r="B36" s="16" t="s">
        <v>27</v>
      </c>
      <c r="C36" s="15" t="s">
        <v>62</v>
      </c>
      <c r="D36" s="17" t="n">
        <v>3.91</v>
      </c>
      <c r="E36" s="17" t="n">
        <v>31.67</v>
      </c>
      <c r="F36" s="18" t="n">
        <f aca="false">IFERROR((E36-D36)/E36,"")</f>
        <v>0.876539311651405</v>
      </c>
      <c r="G36" s="17" t="n">
        <v>19.89</v>
      </c>
      <c r="H36" s="17" t="n">
        <v>12.92</v>
      </c>
      <c r="I36" s="17" t="n">
        <v>10.97</v>
      </c>
      <c r="J36" s="17" t="n">
        <v>10.57</v>
      </c>
      <c r="K36" s="15" t="s">
        <v>402</v>
      </c>
      <c r="L36" s="15" t="s">
        <v>403</v>
      </c>
    </row>
    <row r="37" customFormat="false" ht="15" hidden="false" customHeight="false" outlineLevel="0" collapsed="false">
      <c r="A37" s="6" t="s">
        <v>63</v>
      </c>
      <c r="B37" s="7" t="s">
        <v>27</v>
      </c>
      <c r="C37" s="6" t="s">
        <v>64</v>
      </c>
      <c r="D37" s="8" t="n">
        <v>3.91</v>
      </c>
      <c r="E37" s="8" t="n">
        <v>28.3</v>
      </c>
      <c r="F37" s="9" t="n">
        <f aca="false">IFERROR((E37-D37)/E37,"")</f>
        <v>0.861837455830389</v>
      </c>
      <c r="G37" s="8" t="n">
        <v>14.54</v>
      </c>
      <c r="H37" s="8" t="n">
        <v>8.57</v>
      </c>
      <c r="I37" s="8" t="n">
        <v>6.53</v>
      </c>
      <c r="J37" s="8" t="n">
        <v>6.3</v>
      </c>
      <c r="K37" s="6" t="s">
        <v>402</v>
      </c>
      <c r="L37" s="6" t="s">
        <v>403</v>
      </c>
    </row>
    <row r="38" customFormat="false" ht="15" hidden="false" customHeight="false" outlineLevel="0" collapsed="false">
      <c r="A38" s="15" t="s">
        <v>63</v>
      </c>
      <c r="B38" s="16" t="s">
        <v>23</v>
      </c>
      <c r="C38" s="15" t="s">
        <v>64</v>
      </c>
      <c r="D38" s="17" t="n">
        <v>4.27</v>
      </c>
      <c r="E38" s="17" t="n">
        <v>33.33</v>
      </c>
      <c r="F38" s="18" t="n">
        <f aca="false">IFERROR((E38-D38)/E38,"")</f>
        <v>0.871887188718872</v>
      </c>
      <c r="G38" s="17" t="n">
        <v>19.44</v>
      </c>
      <c r="H38" s="17" t="n">
        <v>8.49</v>
      </c>
      <c r="I38" s="17" t="n">
        <v>7.08</v>
      </c>
      <c r="J38" s="17" t="n">
        <v>7.18</v>
      </c>
      <c r="K38" s="15" t="s">
        <v>402</v>
      </c>
      <c r="L38" s="15" t="s">
        <v>403</v>
      </c>
    </row>
    <row r="39" customFormat="false" ht="15" hidden="false" customHeight="false" outlineLevel="0" collapsed="false">
      <c r="A39" s="6" t="s">
        <v>63</v>
      </c>
      <c r="B39" s="7" t="s">
        <v>25</v>
      </c>
      <c r="C39" s="6" t="s">
        <v>64</v>
      </c>
      <c r="D39" s="8" t="n">
        <v>4.69</v>
      </c>
      <c r="E39" s="8" t="n">
        <v>35.3</v>
      </c>
      <c r="F39" s="9" t="n">
        <f aca="false">IFERROR((E39-D39)/E39,"")</f>
        <v>0.8671388101983</v>
      </c>
      <c r="G39" s="8" t="n">
        <v>20.82</v>
      </c>
      <c r="H39" s="8" t="n">
        <v>10.4</v>
      </c>
      <c r="I39" s="8" t="n">
        <v>8.02</v>
      </c>
      <c r="J39" s="8" t="n">
        <v>7.76</v>
      </c>
      <c r="K39" s="6" t="s">
        <v>402</v>
      </c>
      <c r="L39" s="6" t="s">
        <v>403</v>
      </c>
    </row>
    <row r="40" customFormat="false" ht="15" hidden="false" customHeight="false" outlineLevel="0" collapsed="false">
      <c r="A40" s="15" t="s">
        <v>65</v>
      </c>
      <c r="B40" s="16" t="s">
        <v>27</v>
      </c>
      <c r="C40" s="15" t="s">
        <v>66</v>
      </c>
      <c r="D40" s="17" t="n">
        <v>4.33</v>
      </c>
      <c r="E40" s="17" t="n">
        <v>28.3</v>
      </c>
      <c r="F40" s="18" t="n">
        <f aca="false">IFERROR((E40-D40)/E40,"")</f>
        <v>0.846996466431095</v>
      </c>
      <c r="G40" s="17" t="n">
        <v>16.1</v>
      </c>
      <c r="H40" s="17" t="n">
        <v>8.57</v>
      </c>
      <c r="I40" s="17" t="n">
        <v>7.49</v>
      </c>
      <c r="J40" s="17" t="n">
        <v>6.61</v>
      </c>
      <c r="K40" s="15" t="s">
        <v>402</v>
      </c>
      <c r="L40" s="15" t="s">
        <v>403</v>
      </c>
    </row>
    <row r="41" customFormat="false" ht="15" hidden="false" customHeight="false" outlineLevel="0" collapsed="false">
      <c r="A41" s="6" t="s">
        <v>67</v>
      </c>
      <c r="B41" s="7" t="s">
        <v>27</v>
      </c>
      <c r="C41" s="6" t="s">
        <v>68</v>
      </c>
      <c r="D41" s="8" t="n">
        <v>4.78</v>
      </c>
      <c r="E41" s="8" t="n">
        <v>31.1</v>
      </c>
      <c r="F41" s="9" t="n">
        <f aca="false">IFERROR((E41-D41)/E41,"")</f>
        <v>0.846302250803859</v>
      </c>
      <c r="G41" s="8" t="n">
        <v>18.88</v>
      </c>
      <c r="H41" s="8" t="n">
        <v>9.79</v>
      </c>
      <c r="I41" s="8" t="n">
        <v>7.49</v>
      </c>
      <c r="J41" s="8" t="n">
        <v>7.88</v>
      </c>
      <c r="K41" s="6" t="s">
        <v>402</v>
      </c>
      <c r="L41" s="6" t="s">
        <v>403</v>
      </c>
    </row>
    <row r="42" customFormat="false" ht="15" hidden="false" customHeight="false" outlineLevel="0" collapsed="false">
      <c r="A42" s="15" t="s">
        <v>67</v>
      </c>
      <c r="B42" s="16" t="s">
        <v>23</v>
      </c>
      <c r="C42" s="15" t="s">
        <v>68</v>
      </c>
      <c r="D42" s="17" t="n">
        <v>5.2</v>
      </c>
      <c r="E42" s="17" t="n">
        <v>33.42</v>
      </c>
      <c r="F42" s="18" t="n">
        <f aca="false">IFERROR((E42-D42)/E42,"")</f>
        <v>0.844404548174746</v>
      </c>
      <c r="G42" s="17" t="n">
        <v>18.79</v>
      </c>
      <c r="H42" s="17" t="n">
        <v>12.14</v>
      </c>
      <c r="I42" s="17" t="n">
        <v>10.11</v>
      </c>
      <c r="J42" s="17" t="n">
        <v>9.63</v>
      </c>
      <c r="K42" s="15" t="s">
        <v>402</v>
      </c>
      <c r="L42" s="15" t="s">
        <v>403</v>
      </c>
    </row>
    <row r="43" customFormat="false" ht="15" hidden="false" customHeight="false" outlineLevel="0" collapsed="false">
      <c r="A43" s="6" t="s">
        <v>67</v>
      </c>
      <c r="B43" s="7" t="s">
        <v>25</v>
      </c>
      <c r="C43" s="6" t="s">
        <v>68</v>
      </c>
      <c r="D43" s="8" t="n">
        <v>5.72</v>
      </c>
      <c r="E43" s="8" t="n">
        <v>37.65</v>
      </c>
      <c r="F43" s="9" t="n">
        <f aca="false">IFERROR((E43-D43)/E43,"")</f>
        <v>0.848074369189907</v>
      </c>
      <c r="G43" s="8" t="n">
        <v>21.41</v>
      </c>
      <c r="H43" s="8" t="n">
        <v>14.05</v>
      </c>
      <c r="I43" s="8" t="n">
        <v>12.72</v>
      </c>
      <c r="J43" s="8" t="n">
        <v>9.67</v>
      </c>
      <c r="K43" s="6" t="s">
        <v>402</v>
      </c>
      <c r="L43" s="6" t="s">
        <v>403</v>
      </c>
    </row>
    <row r="44" customFormat="false" ht="15" hidden="false" customHeight="false" outlineLevel="0" collapsed="false">
      <c r="A44" s="15" t="s">
        <v>69</v>
      </c>
      <c r="B44" s="16" t="s">
        <v>27</v>
      </c>
      <c r="C44" s="15" t="s">
        <v>70</v>
      </c>
      <c r="D44" s="17" t="n">
        <v>3.68</v>
      </c>
      <c r="E44" s="17" t="n">
        <v>31.1</v>
      </c>
      <c r="F44" s="18" t="n">
        <f aca="false">IFERROR((E44-D44)/E44,"")</f>
        <v>0.881672025723473</v>
      </c>
      <c r="G44" s="17" t="n">
        <v>18.12</v>
      </c>
      <c r="H44" s="17" t="n">
        <v>11.99</v>
      </c>
      <c r="I44" s="17" t="n">
        <v>9.77</v>
      </c>
      <c r="J44" s="17" t="n">
        <v>8.23</v>
      </c>
      <c r="K44" s="15" t="s">
        <v>402</v>
      </c>
      <c r="L44" s="15" t="s">
        <v>403</v>
      </c>
    </row>
    <row r="45" customFormat="false" ht="15" hidden="false" customHeight="false" outlineLevel="0" collapsed="false">
      <c r="A45" s="6" t="s">
        <v>71</v>
      </c>
      <c r="B45" s="7" t="s">
        <v>27</v>
      </c>
      <c r="C45" s="6" t="s">
        <v>72</v>
      </c>
      <c r="D45" s="8" t="n">
        <v>3.91</v>
      </c>
      <c r="E45" s="8" t="n">
        <v>31.1</v>
      </c>
      <c r="F45" s="9" t="n">
        <f aca="false">IFERROR((E45-D45)/E45,"")</f>
        <v>0.87427652733119</v>
      </c>
      <c r="G45" s="8" t="n">
        <v>18.33</v>
      </c>
      <c r="H45" s="8" t="n">
        <v>10.77</v>
      </c>
      <c r="I45" s="8" t="n">
        <v>8.25</v>
      </c>
      <c r="J45" s="8" t="n">
        <v>7.18</v>
      </c>
      <c r="K45" s="6" t="s">
        <v>402</v>
      </c>
      <c r="L45" s="6" t="s">
        <v>403</v>
      </c>
    </row>
    <row r="46" customFormat="false" ht="15" hidden="false" customHeight="false" outlineLevel="0" collapsed="false">
      <c r="A46" s="15" t="s">
        <v>73</v>
      </c>
      <c r="B46" s="16" t="s">
        <v>27</v>
      </c>
      <c r="C46" s="15" t="s">
        <v>74</v>
      </c>
      <c r="D46" s="17" t="n">
        <v>3.95</v>
      </c>
      <c r="E46" s="17" t="n">
        <v>38.62</v>
      </c>
      <c r="F46" s="18" t="n">
        <f aca="false">IFERROR((E46-D46)/E46,"")</f>
        <v>0.897721387881926</v>
      </c>
      <c r="G46" s="17" t="n">
        <v>24.76</v>
      </c>
      <c r="H46" s="17" t="n">
        <v>16.37</v>
      </c>
      <c r="I46" s="17" t="n">
        <v>14.73</v>
      </c>
      <c r="J46" s="17" t="n">
        <v>14.19</v>
      </c>
      <c r="K46" s="15" t="s">
        <v>402</v>
      </c>
      <c r="L46" s="15" t="s">
        <v>403</v>
      </c>
    </row>
    <row r="47" customFormat="false" ht="15" hidden="false" customHeight="false" outlineLevel="0" collapsed="false">
      <c r="A47" s="6" t="s">
        <v>75</v>
      </c>
      <c r="B47" s="7" t="s">
        <v>27</v>
      </c>
      <c r="C47" s="6" t="s">
        <v>76</v>
      </c>
      <c r="D47" s="8" t="n">
        <v>3.62</v>
      </c>
      <c r="E47" s="8" t="n">
        <v>28.3</v>
      </c>
      <c r="F47" s="9" t="n">
        <f aca="false">IFERROR((E47-D47)/E47,"")</f>
        <v>0.87208480565371</v>
      </c>
      <c r="G47" s="8" t="n">
        <v>14.98</v>
      </c>
      <c r="H47" s="8" t="n">
        <v>8.57</v>
      </c>
      <c r="I47" s="8" t="n">
        <v>7.49</v>
      </c>
      <c r="J47" s="8" t="n">
        <v>6.13</v>
      </c>
      <c r="K47" s="6" t="s">
        <v>402</v>
      </c>
      <c r="L47" s="6" t="s">
        <v>403</v>
      </c>
    </row>
    <row r="48" customFormat="false" ht="15" hidden="false" customHeight="false" outlineLevel="0" collapsed="false">
      <c r="A48" s="15" t="s">
        <v>75</v>
      </c>
      <c r="B48" s="16" t="s">
        <v>23</v>
      </c>
      <c r="C48" s="15" t="s">
        <v>76</v>
      </c>
      <c r="D48" s="17" t="n">
        <v>3.8</v>
      </c>
      <c r="E48" s="17" t="n">
        <v>31.13</v>
      </c>
      <c r="F48" s="18" t="n">
        <f aca="false">IFERROR((E48-D48)/E48,"")</f>
        <v>0.877931256023129</v>
      </c>
      <c r="G48" s="17" t="n">
        <v>18.33</v>
      </c>
      <c r="H48" s="17" t="n">
        <v>8.02</v>
      </c>
      <c r="I48" s="17" t="n">
        <v>7.49</v>
      </c>
      <c r="J48" s="17" t="n">
        <v>7.29</v>
      </c>
      <c r="K48" s="15" t="s">
        <v>402</v>
      </c>
      <c r="L48" s="15" t="s">
        <v>403</v>
      </c>
    </row>
    <row r="49" customFormat="false" ht="15" hidden="false" customHeight="false" outlineLevel="0" collapsed="false">
      <c r="A49" s="6" t="s">
        <v>75</v>
      </c>
      <c r="B49" s="7" t="s">
        <v>25</v>
      </c>
      <c r="C49" s="6" t="s">
        <v>76</v>
      </c>
      <c r="D49" s="8" t="n">
        <v>4.18</v>
      </c>
      <c r="E49" s="8" t="n">
        <v>31.76</v>
      </c>
      <c r="F49" s="9" t="n">
        <f aca="false">IFERROR((E49-D49)/E49,"")</f>
        <v>0.868387909319899</v>
      </c>
      <c r="G49" s="8" t="n">
        <v>19.63</v>
      </c>
      <c r="H49" s="8" t="n">
        <v>9.63</v>
      </c>
      <c r="I49" s="8" t="n">
        <v>7.62</v>
      </c>
      <c r="J49" s="8" t="n">
        <v>6.32</v>
      </c>
      <c r="K49" s="6" t="s">
        <v>402</v>
      </c>
      <c r="L49" s="6" t="s">
        <v>403</v>
      </c>
    </row>
    <row r="50" customFormat="false" ht="15" hidden="false" customHeight="false" outlineLevel="0" collapsed="false">
      <c r="A50" s="15" t="s">
        <v>77</v>
      </c>
      <c r="B50" s="16" t="s">
        <v>27</v>
      </c>
      <c r="C50" s="15" t="s">
        <v>78</v>
      </c>
      <c r="D50" s="17" t="n">
        <v>3.83</v>
      </c>
      <c r="E50" s="17" t="n">
        <v>33.64</v>
      </c>
      <c r="F50" s="18" t="n">
        <f aca="false">IFERROR((E50-D50)/E50,"")</f>
        <v>0.88614744351962</v>
      </c>
      <c r="G50" s="17" t="n">
        <v>19.45</v>
      </c>
      <c r="H50" s="17" t="n">
        <v>12.27</v>
      </c>
      <c r="I50" s="17" t="n">
        <v>10.37</v>
      </c>
      <c r="J50" s="17" t="n">
        <v>8.72</v>
      </c>
      <c r="K50" s="15" t="s">
        <v>402</v>
      </c>
      <c r="L50" s="15" t="s">
        <v>403</v>
      </c>
    </row>
    <row r="51" customFormat="false" ht="15" hidden="false" customHeight="false" outlineLevel="0" collapsed="false">
      <c r="A51" s="6" t="s">
        <v>77</v>
      </c>
      <c r="B51" s="7" t="s">
        <v>23</v>
      </c>
      <c r="C51" s="6" t="s">
        <v>78</v>
      </c>
      <c r="D51" s="8" t="n">
        <v>4.28</v>
      </c>
      <c r="E51" s="8" t="n">
        <v>36.54</v>
      </c>
      <c r="F51" s="9" t="n">
        <f aca="false">IFERROR((E51-D51)/E51,"")</f>
        <v>0.882868089764642</v>
      </c>
      <c r="G51" s="8" t="n">
        <v>23.32</v>
      </c>
      <c r="H51" s="8" t="n">
        <v>14.97</v>
      </c>
      <c r="I51" s="8" t="n">
        <v>13.47</v>
      </c>
      <c r="J51" s="8" t="n">
        <v>12.98</v>
      </c>
      <c r="K51" s="6" t="s">
        <v>402</v>
      </c>
      <c r="L51" s="6" t="s">
        <v>403</v>
      </c>
    </row>
    <row r="52" customFormat="false" ht="15" hidden="false" customHeight="false" outlineLevel="0" collapsed="false">
      <c r="A52" s="15" t="s">
        <v>77</v>
      </c>
      <c r="B52" s="16" t="s">
        <v>25</v>
      </c>
      <c r="C52" s="15" t="s">
        <v>78</v>
      </c>
      <c r="D52" s="17" t="n">
        <v>4.71</v>
      </c>
      <c r="E52" s="17" t="n">
        <v>32.03</v>
      </c>
      <c r="F52" s="18" t="n">
        <f aca="false">IFERROR((E52-D52)/E52,"")</f>
        <v>0.852950359038401</v>
      </c>
      <c r="G52" s="17" t="n">
        <v>20.59</v>
      </c>
      <c r="H52" s="17" t="n">
        <v>13.91</v>
      </c>
      <c r="I52" s="17" t="n">
        <v>14.88</v>
      </c>
      <c r="J52" s="17" t="n">
        <v>14.95</v>
      </c>
      <c r="K52" s="15" t="s">
        <v>402</v>
      </c>
      <c r="L52" s="15" t="s">
        <v>403</v>
      </c>
    </row>
    <row r="53" customFormat="false" ht="15" hidden="false" customHeight="false" outlineLevel="0" collapsed="false">
      <c r="A53" s="6" t="s">
        <v>79</v>
      </c>
      <c r="B53" s="7" t="s">
        <v>27</v>
      </c>
      <c r="C53" s="6" t="s">
        <v>80</v>
      </c>
      <c r="D53" s="8" t="n">
        <v>3.76</v>
      </c>
      <c r="E53" s="8" t="n">
        <v>28.3</v>
      </c>
      <c r="F53" s="9" t="n">
        <f aca="false">IFERROR((E53-D53)/E53,"")</f>
        <v>0.867137809187279</v>
      </c>
      <c r="G53" s="8" t="n">
        <v>14.99</v>
      </c>
      <c r="H53" s="8" t="n">
        <v>8.32</v>
      </c>
      <c r="I53" s="8" t="n">
        <v>7.49</v>
      </c>
      <c r="J53" s="8" t="n">
        <v>6.12</v>
      </c>
      <c r="K53" s="6" t="s">
        <v>402</v>
      </c>
      <c r="L53" s="6" t="s">
        <v>403</v>
      </c>
    </row>
    <row r="54" customFormat="false" ht="15" hidden="false" customHeight="false" outlineLevel="0" collapsed="false">
      <c r="A54" s="15" t="s">
        <v>79</v>
      </c>
      <c r="B54" s="16" t="s">
        <v>23</v>
      </c>
      <c r="C54" s="15" t="s">
        <v>80</v>
      </c>
      <c r="D54" s="17" t="n">
        <v>4.09</v>
      </c>
      <c r="E54" s="17" t="n">
        <v>31.13</v>
      </c>
      <c r="F54" s="18" t="n">
        <f aca="false">IFERROR((E54-D54)/E54,"")</f>
        <v>0.868615483456473</v>
      </c>
      <c r="G54" s="17" t="n">
        <v>18.33</v>
      </c>
      <c r="H54" s="17" t="n">
        <v>8.49</v>
      </c>
      <c r="I54" s="17" t="n">
        <v>7.88</v>
      </c>
      <c r="J54" s="17" t="n">
        <v>7.48</v>
      </c>
      <c r="K54" s="15" t="s">
        <v>402</v>
      </c>
      <c r="L54" s="15" t="s">
        <v>403</v>
      </c>
    </row>
    <row r="55" customFormat="false" ht="15" hidden="false" customHeight="false" outlineLevel="0" collapsed="false">
      <c r="A55" s="6" t="s">
        <v>79</v>
      </c>
      <c r="B55" s="7" t="s">
        <v>25</v>
      </c>
      <c r="C55" s="6" t="s">
        <v>80</v>
      </c>
      <c r="D55" s="8" t="n">
        <v>4.49</v>
      </c>
      <c r="E55" s="8" t="n">
        <v>31.76</v>
      </c>
      <c r="F55" s="9" t="n">
        <f aca="false">IFERROR((E55-D55)/E55,"")</f>
        <v>0.858627204030227</v>
      </c>
      <c r="G55" s="8" t="n">
        <v>18.89</v>
      </c>
      <c r="H55" s="8" t="n">
        <v>9.99</v>
      </c>
      <c r="I55" s="8" t="n">
        <v>8.32</v>
      </c>
      <c r="J55" s="8" t="n">
        <v>8.02</v>
      </c>
      <c r="K55" s="6" t="s">
        <v>402</v>
      </c>
      <c r="L55" s="6" t="s">
        <v>403</v>
      </c>
    </row>
    <row r="56" customFormat="false" ht="15" hidden="false" customHeight="false" outlineLevel="0" collapsed="false">
      <c r="A56" s="15" t="s">
        <v>81</v>
      </c>
      <c r="B56" s="16" t="s">
        <v>27</v>
      </c>
      <c r="C56" s="15" t="s">
        <v>82</v>
      </c>
      <c r="D56" s="17" t="n">
        <v>3.99</v>
      </c>
      <c r="E56" s="17" t="n">
        <v>30.19</v>
      </c>
      <c r="F56" s="18" t="n">
        <f aca="false">IFERROR((E56-D56)/E56,"")</f>
        <v>0.867837032129844</v>
      </c>
      <c r="G56" s="17" t="n">
        <v>18.86</v>
      </c>
      <c r="H56" s="17" t="n">
        <v>9.79</v>
      </c>
      <c r="I56" s="17" t="n">
        <v>10.18</v>
      </c>
      <c r="J56" s="17" t="n">
        <v>9.8</v>
      </c>
      <c r="K56" s="15" t="s">
        <v>402</v>
      </c>
      <c r="L56" s="15" t="s">
        <v>403</v>
      </c>
    </row>
    <row r="57" customFormat="false" ht="15" hidden="false" customHeight="false" outlineLevel="0" collapsed="false">
      <c r="A57" s="6" t="s">
        <v>83</v>
      </c>
      <c r="B57" s="7" t="s">
        <v>27</v>
      </c>
      <c r="C57" s="6" t="s">
        <v>84</v>
      </c>
      <c r="D57" s="8" t="n">
        <v>4.38</v>
      </c>
      <c r="E57" s="8" t="n">
        <v>34.83</v>
      </c>
      <c r="F57" s="9" t="n">
        <f aca="false">IFERROR((E57-D57)/E57,"")</f>
        <v>0.874246339362618</v>
      </c>
      <c r="G57" s="8" t="n">
        <v>30.28</v>
      </c>
      <c r="H57" s="8" t="n">
        <v>8.83</v>
      </c>
      <c r="I57" s="8" t="n">
        <v>13.31</v>
      </c>
      <c r="J57" s="8" t="n">
        <v>11.61</v>
      </c>
      <c r="K57" s="6" t="s">
        <v>404</v>
      </c>
      <c r="L57" s="6" t="s">
        <v>403</v>
      </c>
    </row>
    <row r="58" customFormat="false" ht="15" hidden="false" customHeight="false" outlineLevel="0" collapsed="false">
      <c r="A58" s="15" t="s">
        <v>85</v>
      </c>
      <c r="B58" s="16" t="s">
        <v>27</v>
      </c>
      <c r="C58" s="15" t="s">
        <v>86</v>
      </c>
      <c r="D58" s="17" t="n">
        <v>4.19</v>
      </c>
      <c r="E58" s="17" t="n">
        <v>28.3</v>
      </c>
      <c r="F58" s="18" t="n">
        <f aca="false">IFERROR((E58-D58)/E58,"")</f>
        <v>0.851943462897526</v>
      </c>
      <c r="G58" s="17" t="n">
        <v>15.67</v>
      </c>
      <c r="H58" s="17" t="n">
        <v>9.3</v>
      </c>
      <c r="I58" s="17" t="n">
        <v>7.49</v>
      </c>
      <c r="J58" s="17" t="n">
        <v>6.3</v>
      </c>
      <c r="K58" s="15" t="s">
        <v>402</v>
      </c>
      <c r="L58" s="15" t="s">
        <v>403</v>
      </c>
    </row>
    <row r="59" customFormat="false" ht="15" hidden="false" customHeight="false" outlineLevel="0" collapsed="false">
      <c r="A59" s="6" t="s">
        <v>87</v>
      </c>
      <c r="B59" s="7" t="s">
        <v>27</v>
      </c>
      <c r="C59" s="6" t="s">
        <v>88</v>
      </c>
      <c r="D59" s="8" t="n">
        <v>4.21</v>
      </c>
      <c r="E59" s="8" t="n">
        <v>28.3</v>
      </c>
      <c r="F59" s="9" t="n">
        <f aca="false">IFERROR((E59-D59)/E59,"")</f>
        <v>0.851236749116608</v>
      </c>
      <c r="G59" s="8" t="n">
        <v>14.69</v>
      </c>
      <c r="H59" s="8" t="n">
        <v>8.57</v>
      </c>
      <c r="I59" s="8" t="n">
        <v>7.49</v>
      </c>
      <c r="J59" s="8" t="n">
        <v>6.03</v>
      </c>
      <c r="K59" s="6" t="s">
        <v>402</v>
      </c>
      <c r="L59" s="6" t="s">
        <v>403</v>
      </c>
    </row>
    <row r="60" customFormat="false" ht="15" hidden="false" customHeight="false" outlineLevel="0" collapsed="false">
      <c r="A60" s="15" t="s">
        <v>87</v>
      </c>
      <c r="B60" s="16" t="s">
        <v>23</v>
      </c>
      <c r="C60" s="15" t="s">
        <v>88</v>
      </c>
      <c r="D60" s="17" t="n">
        <v>4.68</v>
      </c>
      <c r="E60" s="17" t="n">
        <v>31.13</v>
      </c>
      <c r="F60" s="18" t="n">
        <f aca="false">IFERROR((E60-D60)/E60,"")</f>
        <v>0.84966270478638</v>
      </c>
      <c r="G60" s="17" t="n">
        <v>16.65</v>
      </c>
      <c r="H60" s="17" t="n">
        <v>9.79</v>
      </c>
      <c r="I60" s="17" t="n">
        <v>7.55</v>
      </c>
      <c r="J60" s="17" t="n">
        <v>7.48</v>
      </c>
      <c r="K60" s="15" t="s">
        <v>402</v>
      </c>
      <c r="L60" s="15" t="s">
        <v>403</v>
      </c>
    </row>
    <row r="61" customFormat="false" ht="15" hidden="false" customHeight="false" outlineLevel="0" collapsed="false">
      <c r="A61" s="6" t="s">
        <v>87</v>
      </c>
      <c r="B61" s="7" t="s">
        <v>25</v>
      </c>
      <c r="C61" s="6" t="s">
        <v>88</v>
      </c>
      <c r="D61" s="8" t="n">
        <v>5.15</v>
      </c>
      <c r="E61" s="8" t="n">
        <v>31.76</v>
      </c>
      <c r="F61" s="9" t="n">
        <f aca="false">IFERROR((E61-D61)/E61,"")</f>
        <v>0.837846347607053</v>
      </c>
      <c r="G61" s="8" t="n">
        <v>16.99</v>
      </c>
      <c r="H61" s="8" t="n">
        <v>9.37</v>
      </c>
      <c r="I61" s="8" t="n">
        <v>6.7</v>
      </c>
      <c r="J61" s="8" t="n">
        <v>6.87</v>
      </c>
      <c r="K61" s="6" t="s">
        <v>402</v>
      </c>
      <c r="L61" s="6" t="s">
        <v>403</v>
      </c>
    </row>
    <row r="62" customFormat="false" ht="15" hidden="false" customHeight="false" outlineLevel="0" collapsed="false">
      <c r="A62" s="15" t="s">
        <v>89</v>
      </c>
      <c r="B62" s="16" t="s">
        <v>27</v>
      </c>
      <c r="C62" s="15" t="s">
        <v>90</v>
      </c>
      <c r="D62" s="17" t="n">
        <v>4.54</v>
      </c>
      <c r="E62" s="17" t="n">
        <v>34.44</v>
      </c>
      <c r="F62" s="18" t="n">
        <f aca="false">IFERROR((E62-D62)/E62,"")</f>
        <v>0.868176538908246</v>
      </c>
      <c r="G62" s="17" t="n">
        <v>17.63</v>
      </c>
      <c r="H62" s="17" t="n">
        <v>12.14</v>
      </c>
      <c r="I62" s="17" t="n">
        <v>9.44</v>
      </c>
      <c r="J62" s="17" t="n">
        <v>7.46</v>
      </c>
      <c r="K62" s="15" t="s">
        <v>402</v>
      </c>
      <c r="L62" s="15" t="s">
        <v>403</v>
      </c>
    </row>
    <row r="63" customFormat="false" ht="15" hidden="false" customHeight="false" outlineLevel="0" collapsed="false">
      <c r="A63" s="6" t="s">
        <v>91</v>
      </c>
      <c r="B63" s="7" t="s">
        <v>27</v>
      </c>
      <c r="C63" s="6" t="s">
        <v>92</v>
      </c>
      <c r="D63" s="8" t="n">
        <v>4.84</v>
      </c>
      <c r="E63" s="8" t="n">
        <v>44.92</v>
      </c>
      <c r="F63" s="9" t="n">
        <f aca="false">IFERROR((E63-D63)/E63,"")</f>
        <v>0.892252894033838</v>
      </c>
      <c r="G63" s="8" t="n">
        <v>28.19</v>
      </c>
      <c r="H63" s="8" t="n">
        <v>14.16</v>
      </c>
      <c r="I63" s="8" t="n">
        <v>11.34</v>
      </c>
      <c r="J63" s="8" t="n">
        <v>10.19</v>
      </c>
      <c r="K63" s="6" t="s">
        <v>402</v>
      </c>
      <c r="L63" s="6" t="s">
        <v>403</v>
      </c>
    </row>
    <row r="64" customFormat="false" ht="15" hidden="false" customHeight="false" outlineLevel="0" collapsed="false">
      <c r="A64" s="15" t="s">
        <v>93</v>
      </c>
      <c r="B64" s="16" t="s">
        <v>27</v>
      </c>
      <c r="C64" s="15" t="s">
        <v>94</v>
      </c>
      <c r="D64" s="17" t="n">
        <v>4.64</v>
      </c>
      <c r="E64" s="17" t="n">
        <v>43.87</v>
      </c>
      <c r="F64" s="18" t="n">
        <f aca="false">IFERROR((E64-D64)/E64,"")</f>
        <v>0.894232961021199</v>
      </c>
      <c r="G64" s="17" t="n">
        <v>18.89</v>
      </c>
      <c r="H64" s="17" t="n">
        <v>14.16</v>
      </c>
      <c r="I64" s="17" t="n">
        <v>12.11</v>
      </c>
      <c r="J64" s="17" t="n">
        <v>12.67</v>
      </c>
      <c r="K64" s="15" t="s">
        <v>402</v>
      </c>
      <c r="L64" s="15" t="s">
        <v>403</v>
      </c>
    </row>
    <row r="65" customFormat="false" ht="15" hidden="false" customHeight="false" outlineLevel="0" collapsed="false">
      <c r="A65" s="6" t="s">
        <v>93</v>
      </c>
      <c r="B65" s="7" t="s">
        <v>23</v>
      </c>
      <c r="C65" s="6" t="s">
        <v>94</v>
      </c>
      <c r="D65" s="8" t="n">
        <v>4.99</v>
      </c>
      <c r="E65" s="8" t="n">
        <v>51.33</v>
      </c>
      <c r="F65" s="9" t="n">
        <f aca="false">IFERROR((E65-D65)/E65,"")</f>
        <v>0.902785895187999</v>
      </c>
      <c r="G65" s="8" t="n">
        <v>32.24</v>
      </c>
      <c r="H65" s="8" t="n">
        <v>19.83</v>
      </c>
      <c r="I65" s="8" t="n">
        <v>16.53</v>
      </c>
      <c r="J65" s="8" t="n">
        <v>12.69</v>
      </c>
      <c r="K65" s="6" t="s">
        <v>402</v>
      </c>
      <c r="L65" s="6" t="s">
        <v>403</v>
      </c>
    </row>
    <row r="66" customFormat="false" ht="15" hidden="false" customHeight="false" outlineLevel="0" collapsed="false">
      <c r="A66" s="15" t="s">
        <v>93</v>
      </c>
      <c r="B66" s="16" t="s">
        <v>25</v>
      </c>
      <c r="C66" s="15" t="s">
        <v>94</v>
      </c>
      <c r="D66" s="17" t="n">
        <v>5.48</v>
      </c>
      <c r="E66" s="17" t="n">
        <v>54.37</v>
      </c>
      <c r="F66" s="18" t="n">
        <f aca="false">IFERROR((E66-D66)/E66,"")</f>
        <v>0.899209122677948</v>
      </c>
      <c r="G66" s="17" t="n">
        <v>34.53</v>
      </c>
      <c r="H66" s="17" t="n">
        <v>19.27</v>
      </c>
      <c r="I66" s="17" t="n">
        <v>17.66</v>
      </c>
      <c r="J66" s="17" t="n">
        <v>14.59</v>
      </c>
      <c r="K66" s="15" t="s">
        <v>402</v>
      </c>
      <c r="L66" s="15" t="s">
        <v>403</v>
      </c>
    </row>
    <row r="67" customFormat="false" ht="15" hidden="false" customHeight="false" outlineLevel="0" collapsed="false">
      <c r="A67" s="6" t="s">
        <v>95</v>
      </c>
      <c r="B67" s="7" t="s">
        <v>27</v>
      </c>
      <c r="C67" s="6" t="s">
        <v>96</v>
      </c>
      <c r="D67" s="8" t="n">
        <v>3.97</v>
      </c>
      <c r="E67" s="8" t="n">
        <v>28.19</v>
      </c>
      <c r="F67" s="9" t="n">
        <f aca="false">IFERROR((E67-D67)/E67,"")</f>
        <v>0.859169918410784</v>
      </c>
      <c r="G67" s="8" t="n">
        <v>18.42</v>
      </c>
      <c r="H67" s="8" t="n">
        <v>13.46</v>
      </c>
      <c r="I67" s="8" t="n">
        <v>11.18</v>
      </c>
      <c r="J67" s="8" t="n">
        <v>9.79</v>
      </c>
      <c r="K67" s="6" t="s">
        <v>402</v>
      </c>
      <c r="L67" s="6" t="s">
        <v>403</v>
      </c>
    </row>
    <row r="68" customFormat="false" ht="15" hidden="false" customHeight="false" outlineLevel="0" collapsed="false">
      <c r="A68" s="15" t="s">
        <v>97</v>
      </c>
      <c r="B68" s="16" t="s">
        <v>27</v>
      </c>
      <c r="C68" s="15" t="s">
        <v>98</v>
      </c>
      <c r="D68" s="17" t="n">
        <v>4.03</v>
      </c>
      <c r="E68" s="17" t="n">
        <v>33.33</v>
      </c>
      <c r="F68" s="18" t="n">
        <f aca="false">IFERROR((E68-D68)/E68,"")</f>
        <v>0.879087908790879</v>
      </c>
      <c r="G68" s="17" t="n">
        <v>19.1</v>
      </c>
      <c r="H68" s="17" t="n">
        <v>14.73</v>
      </c>
      <c r="I68" s="17" t="n">
        <v>11.47</v>
      </c>
      <c r="J68" s="17" t="n">
        <v>11.26</v>
      </c>
      <c r="K68" s="15" t="s">
        <v>402</v>
      </c>
      <c r="L68" s="15" t="s">
        <v>403</v>
      </c>
    </row>
    <row r="69" customFormat="false" ht="15" hidden="false" customHeight="false" outlineLevel="0" collapsed="false">
      <c r="A69" s="6" t="s">
        <v>99</v>
      </c>
      <c r="B69" s="7" t="s">
        <v>27</v>
      </c>
      <c r="C69" s="6" t="s">
        <v>100</v>
      </c>
      <c r="D69" s="8" t="n">
        <v>4.07</v>
      </c>
      <c r="E69" s="8" t="n">
        <v>32.14</v>
      </c>
      <c r="F69" s="9" t="n">
        <f aca="false">IFERROR((E69-D69)/E69,"")</f>
        <v>0.873366521468575</v>
      </c>
      <c r="G69" s="8" t="n">
        <v>17.14</v>
      </c>
      <c r="H69" s="8" t="n">
        <v>9.79</v>
      </c>
      <c r="I69" s="8" t="n">
        <v>8.18</v>
      </c>
      <c r="J69" s="8" t="n">
        <v>9.39</v>
      </c>
      <c r="K69" s="6" t="s">
        <v>402</v>
      </c>
      <c r="L69" s="6" t="s">
        <v>403</v>
      </c>
    </row>
    <row r="70" customFormat="false" ht="15" hidden="false" customHeight="false" outlineLevel="0" collapsed="false">
      <c r="A70" s="15" t="s">
        <v>99</v>
      </c>
      <c r="B70" s="16" t="s">
        <v>23</v>
      </c>
      <c r="C70" s="15" t="s">
        <v>100</v>
      </c>
      <c r="D70" s="17" t="n">
        <v>4.43</v>
      </c>
      <c r="E70" s="17" t="n">
        <v>37.14</v>
      </c>
      <c r="F70" s="18" t="n">
        <f aca="false">IFERROR((E70-D70)/E70,"")</f>
        <v>0.880721593968767</v>
      </c>
      <c r="G70" s="17" t="n">
        <v>23.73</v>
      </c>
      <c r="H70" s="17" t="n">
        <v>14.64</v>
      </c>
      <c r="I70" s="17" t="n">
        <v>13.92</v>
      </c>
      <c r="J70" s="17" t="n">
        <v>13.35</v>
      </c>
      <c r="K70" s="15" t="s">
        <v>402</v>
      </c>
      <c r="L70" s="15" t="s">
        <v>403</v>
      </c>
    </row>
    <row r="71" customFormat="false" ht="15" hidden="false" customHeight="false" outlineLevel="0" collapsed="false">
      <c r="A71" s="6" t="s">
        <v>99</v>
      </c>
      <c r="B71" s="7" t="s">
        <v>25</v>
      </c>
      <c r="C71" s="6" t="s">
        <v>100</v>
      </c>
      <c r="D71" s="8" t="n">
        <v>4.87</v>
      </c>
      <c r="E71" s="8" t="n">
        <v>32.61</v>
      </c>
      <c r="F71" s="9" t="n">
        <f aca="false">IFERROR((E71-D71)/E71,"")</f>
        <v>0.850659306961055</v>
      </c>
      <c r="G71" s="8" t="n">
        <v>21</v>
      </c>
      <c r="H71" s="8" t="n">
        <v>19.27</v>
      </c>
      <c r="I71" s="8" t="n">
        <v>13.97</v>
      </c>
      <c r="J71" s="8" t="n">
        <v>11.29</v>
      </c>
      <c r="K71" s="6" t="s">
        <v>402</v>
      </c>
      <c r="L71" s="6" t="s">
        <v>403</v>
      </c>
    </row>
    <row r="72" customFormat="false" ht="15" hidden="false" customHeight="false" outlineLevel="0" collapsed="false">
      <c r="A72" s="15" t="s">
        <v>101</v>
      </c>
      <c r="B72" s="16" t="s">
        <v>27</v>
      </c>
      <c r="C72" s="15" t="s">
        <v>102</v>
      </c>
      <c r="D72" s="17" t="n">
        <v>4.11</v>
      </c>
      <c r="E72" s="17" t="n">
        <v>28.3</v>
      </c>
      <c r="F72" s="18" t="n">
        <f aca="false">IFERROR((E72-D72)/E72,"")</f>
        <v>0.854770318021201</v>
      </c>
      <c r="G72" s="17" t="n">
        <v>16.65</v>
      </c>
      <c r="H72" s="17" t="n">
        <v>9.79</v>
      </c>
      <c r="I72" s="17" t="n">
        <v>7.88</v>
      </c>
      <c r="J72" s="17" t="n">
        <v>7.34</v>
      </c>
      <c r="K72" s="15" t="s">
        <v>402</v>
      </c>
      <c r="L72" s="15" t="s">
        <v>403</v>
      </c>
    </row>
    <row r="73" customFormat="false" ht="15" hidden="false" customHeight="false" outlineLevel="0" collapsed="false">
      <c r="A73" s="6" t="s">
        <v>103</v>
      </c>
      <c r="B73" s="7" t="s">
        <v>27</v>
      </c>
      <c r="C73" s="6" t="s">
        <v>104</v>
      </c>
      <c r="D73" s="8" t="n">
        <v>3.89</v>
      </c>
      <c r="E73" s="8" t="n">
        <v>32.61</v>
      </c>
      <c r="F73" s="9" t="n">
        <f aca="false">IFERROR((E73-D73)/E73,"")</f>
        <v>0.880711438209138</v>
      </c>
      <c r="G73" s="8" t="n">
        <v>14.69</v>
      </c>
      <c r="H73" s="8" t="n">
        <v>8.57</v>
      </c>
      <c r="I73" s="8" t="n">
        <v>7.49</v>
      </c>
      <c r="J73" s="8" t="n">
        <v>6.74</v>
      </c>
      <c r="K73" s="6" t="s">
        <v>402</v>
      </c>
      <c r="L73" s="6" t="s">
        <v>403</v>
      </c>
    </row>
    <row r="74" customFormat="false" ht="15" hidden="false" customHeight="false" outlineLevel="0" collapsed="false">
      <c r="A74" s="15" t="s">
        <v>103</v>
      </c>
      <c r="B74" s="16" t="s">
        <v>23</v>
      </c>
      <c r="C74" s="15" t="s">
        <v>104</v>
      </c>
      <c r="D74" s="17" t="n">
        <v>4.19</v>
      </c>
      <c r="E74" s="17" t="n">
        <v>36.14</v>
      </c>
      <c r="F74" s="18" t="n">
        <f aca="false">IFERROR((E74-D74)/E74,"")</f>
        <v>0.884061981184283</v>
      </c>
      <c r="G74" s="17" t="n">
        <v>16.19</v>
      </c>
      <c r="H74" s="17" t="n">
        <v>10.46</v>
      </c>
      <c r="I74" s="17" t="n">
        <v>8.46</v>
      </c>
      <c r="J74" s="17" t="n">
        <v>7.62</v>
      </c>
      <c r="K74" s="15" t="s">
        <v>404</v>
      </c>
      <c r="L74" s="15" t="s">
        <v>403</v>
      </c>
    </row>
    <row r="75" customFormat="false" ht="15" hidden="false" customHeight="false" outlineLevel="0" collapsed="false">
      <c r="A75" s="6" t="s">
        <v>103</v>
      </c>
      <c r="B75" s="7" t="s">
        <v>25</v>
      </c>
      <c r="C75" s="6" t="s">
        <v>104</v>
      </c>
      <c r="D75" s="8" t="n">
        <v>4.61</v>
      </c>
      <c r="E75" s="8" t="n">
        <v>38.79</v>
      </c>
      <c r="F75" s="9" t="n">
        <f aca="false">IFERROR((E75-D75)/E75,"")</f>
        <v>0.881154936839392</v>
      </c>
      <c r="G75" s="8" t="n">
        <v>27.84</v>
      </c>
      <c r="H75" s="8" t="n">
        <v>9.37</v>
      </c>
      <c r="I75" s="8" t="n">
        <v>7.63</v>
      </c>
      <c r="J75" s="8" t="n">
        <v>7.56</v>
      </c>
      <c r="K75" s="6" t="s">
        <v>402</v>
      </c>
      <c r="L75" s="6" t="s">
        <v>403</v>
      </c>
    </row>
    <row r="76" customFormat="false" ht="15" hidden="false" customHeight="false" outlineLevel="0" collapsed="false">
      <c r="A76" s="15" t="s">
        <v>105</v>
      </c>
      <c r="B76" s="16" t="s">
        <v>27</v>
      </c>
      <c r="C76" s="15" t="s">
        <v>106</v>
      </c>
      <c r="D76" s="17" t="n">
        <v>4.09</v>
      </c>
      <c r="E76" s="17" t="n">
        <v>29.99</v>
      </c>
      <c r="F76" s="18" t="n">
        <f aca="false">IFERROR((E76-D76)/E76,"")</f>
        <v>0.863621207069023</v>
      </c>
      <c r="G76" s="17" t="n">
        <v>16.16</v>
      </c>
      <c r="H76" s="17" t="n">
        <v>8.57</v>
      </c>
      <c r="I76" s="17" t="n">
        <v>7.49</v>
      </c>
      <c r="J76" s="17" t="n">
        <v>6.53</v>
      </c>
      <c r="K76" s="15" t="s">
        <v>402</v>
      </c>
      <c r="L76" s="15" t="s">
        <v>403</v>
      </c>
    </row>
    <row r="77" customFormat="false" ht="15" hidden="false" customHeight="false" outlineLevel="0" collapsed="false">
      <c r="A77" s="6" t="s">
        <v>105</v>
      </c>
      <c r="B77" s="7" t="s">
        <v>23</v>
      </c>
      <c r="C77" s="6" t="s">
        <v>106</v>
      </c>
      <c r="D77" s="8" t="n">
        <v>4.43</v>
      </c>
      <c r="E77" s="8" t="n">
        <v>34.44</v>
      </c>
      <c r="F77" s="9" t="n">
        <f aca="false">IFERROR((E77-D77)/E77,"")</f>
        <v>0.87137049941928</v>
      </c>
      <c r="G77" s="8" t="n">
        <v>21.1</v>
      </c>
      <c r="H77" s="8" t="n">
        <v>8.49</v>
      </c>
      <c r="I77" s="8" t="n">
        <v>7.23</v>
      </c>
      <c r="J77" s="8" t="n">
        <v>7</v>
      </c>
      <c r="K77" s="6" t="s">
        <v>402</v>
      </c>
      <c r="L77" s="6" t="s">
        <v>403</v>
      </c>
    </row>
    <row r="78" customFormat="false" ht="15" hidden="false" customHeight="false" outlineLevel="0" collapsed="false">
      <c r="A78" s="15" t="s">
        <v>105</v>
      </c>
      <c r="B78" s="16" t="s">
        <v>25</v>
      </c>
      <c r="C78" s="15" t="s">
        <v>106</v>
      </c>
      <c r="D78" s="17" t="n">
        <v>4.87</v>
      </c>
      <c r="E78" s="17" t="n">
        <v>31.4</v>
      </c>
      <c r="F78" s="18" t="n">
        <f aca="false">IFERROR((E78-D78)/E78,"")</f>
        <v>0.844904458598726</v>
      </c>
      <c r="G78" s="17" t="n">
        <v>17.21</v>
      </c>
      <c r="H78" s="17" t="n">
        <v>11.02</v>
      </c>
      <c r="I78" s="17" t="n">
        <v>8.91</v>
      </c>
      <c r="J78" s="17" t="n">
        <v>7.77</v>
      </c>
      <c r="K78" s="15" t="s">
        <v>404</v>
      </c>
      <c r="L78" s="15" t="s">
        <v>403</v>
      </c>
    </row>
    <row r="79" customFormat="false" ht="15" hidden="false" customHeight="false" outlineLevel="0" collapsed="false">
      <c r="A79" s="6" t="s">
        <v>107</v>
      </c>
      <c r="B79" s="7" t="s">
        <v>27</v>
      </c>
      <c r="C79" s="6" t="s">
        <v>108</v>
      </c>
      <c r="D79" s="8" t="n">
        <v>4.09</v>
      </c>
      <c r="E79" s="8" t="n">
        <v>34.44</v>
      </c>
      <c r="F79" s="9" t="n">
        <f aca="false">IFERROR((E79-D79)/E79,"")</f>
        <v>0.881242740998839</v>
      </c>
      <c r="G79" s="8" t="n">
        <v>19.59</v>
      </c>
      <c r="H79" s="8" t="n">
        <v>11.75</v>
      </c>
      <c r="I79" s="8" t="n">
        <v>8.65</v>
      </c>
      <c r="J79" s="8" t="n">
        <v>8.57</v>
      </c>
      <c r="K79" s="6" t="s">
        <v>402</v>
      </c>
      <c r="L79" s="6" t="s">
        <v>403</v>
      </c>
    </row>
    <row r="80" customFormat="false" ht="15" hidden="false" customHeight="false" outlineLevel="0" collapsed="false">
      <c r="A80" s="15" t="s">
        <v>109</v>
      </c>
      <c r="B80" s="16" t="s">
        <v>27</v>
      </c>
      <c r="C80" s="15" t="s">
        <v>110</v>
      </c>
      <c r="D80" s="17" t="n">
        <v>4.38</v>
      </c>
      <c r="E80" s="17" t="n">
        <v>29.99</v>
      </c>
      <c r="F80" s="18" t="n">
        <f aca="false">IFERROR((E80-D80)/E80,"")</f>
        <v>0.853951317105702</v>
      </c>
      <c r="G80" s="17" t="n">
        <v>16.97</v>
      </c>
      <c r="H80" s="17" t="n">
        <v>10.2</v>
      </c>
      <c r="I80" s="17" t="n">
        <v>7.88</v>
      </c>
      <c r="J80" s="17" t="n">
        <v>7.03</v>
      </c>
      <c r="K80" s="15" t="s">
        <v>402</v>
      </c>
      <c r="L80" s="15" t="s">
        <v>403</v>
      </c>
    </row>
    <row r="81" customFormat="false" ht="15" hidden="false" customHeight="false" outlineLevel="0" collapsed="false">
      <c r="A81" s="6" t="s">
        <v>109</v>
      </c>
      <c r="B81" s="7" t="s">
        <v>23</v>
      </c>
      <c r="C81" s="6" t="s">
        <v>110</v>
      </c>
      <c r="D81" s="8" t="n">
        <v>4.86</v>
      </c>
      <c r="E81" s="8" t="n">
        <v>33.33</v>
      </c>
      <c r="F81" s="9" t="n">
        <f aca="false">IFERROR((E81-D81)/E81,"")</f>
        <v>0.854185418541854</v>
      </c>
      <c r="G81" s="8" t="n">
        <v>19.99</v>
      </c>
      <c r="H81" s="8" t="n">
        <v>11.75</v>
      </c>
      <c r="I81" s="8" t="n">
        <v>8.97</v>
      </c>
      <c r="J81" s="8" t="n">
        <v>7.88</v>
      </c>
      <c r="K81" s="6" t="s">
        <v>402</v>
      </c>
      <c r="L81" s="6" t="s">
        <v>403</v>
      </c>
    </row>
    <row r="82" customFormat="false" ht="15" hidden="false" customHeight="false" outlineLevel="0" collapsed="false">
      <c r="A82" s="15" t="s">
        <v>109</v>
      </c>
      <c r="B82" s="16" t="s">
        <v>25</v>
      </c>
      <c r="C82" s="15" t="s">
        <v>110</v>
      </c>
      <c r="D82" s="17" t="n">
        <v>5.35</v>
      </c>
      <c r="E82" s="17" t="n">
        <v>31.4</v>
      </c>
      <c r="F82" s="18" t="n">
        <f aca="false">IFERROR((E82-D82)/E82,"")</f>
        <v>0.829617834394904</v>
      </c>
      <c r="G82" s="17" t="n">
        <v>18.07</v>
      </c>
      <c r="H82" s="17" t="n">
        <v>13.11</v>
      </c>
      <c r="I82" s="17" t="n">
        <v>9.38</v>
      </c>
      <c r="J82" s="17" t="n">
        <v>8.37</v>
      </c>
      <c r="K82" s="15" t="s">
        <v>404</v>
      </c>
      <c r="L82" s="15" t="s">
        <v>403</v>
      </c>
    </row>
    <row r="83" customFormat="false" ht="15" hidden="false" customHeight="false" outlineLevel="0" collapsed="false">
      <c r="A83" s="6" t="s">
        <v>111</v>
      </c>
      <c r="B83" s="7" t="s">
        <v>27</v>
      </c>
      <c r="C83" s="6" t="s">
        <v>112</v>
      </c>
      <c r="D83" s="8" t="n">
        <v>4.03</v>
      </c>
      <c r="E83" s="8" t="n">
        <v>37.08</v>
      </c>
      <c r="F83" s="9" t="n">
        <f aca="false">IFERROR((E83-D83)/E83,"")</f>
        <v>0.891316073354908</v>
      </c>
      <c r="G83" s="8" t="n">
        <v>23.18</v>
      </c>
      <c r="H83" s="8" t="n">
        <v>13.05</v>
      </c>
      <c r="I83" s="8" t="n">
        <v>16.05</v>
      </c>
      <c r="J83" s="8" t="n">
        <v>14.02</v>
      </c>
      <c r="K83" s="6" t="s">
        <v>404</v>
      </c>
      <c r="L83" s="6" t="s">
        <v>403</v>
      </c>
    </row>
    <row r="84" customFormat="false" ht="15" hidden="false" customHeight="false" outlineLevel="0" collapsed="false">
      <c r="A84" s="15" t="s">
        <v>113</v>
      </c>
      <c r="B84" s="16" t="s">
        <v>27</v>
      </c>
      <c r="C84" s="15" t="s">
        <v>114</v>
      </c>
      <c r="D84" s="17" t="n">
        <v>5.03</v>
      </c>
      <c r="E84" s="17" t="n">
        <v>35.55</v>
      </c>
      <c r="F84" s="18" t="n">
        <f aca="false">IFERROR((E84-D84)/E84,"")</f>
        <v>0.858509142053446</v>
      </c>
      <c r="G84" s="17" t="n">
        <v>19.59</v>
      </c>
      <c r="H84" s="17" t="n">
        <v>11.89</v>
      </c>
      <c r="I84" s="17" t="n">
        <v>8.32</v>
      </c>
      <c r="J84" s="17" t="n">
        <v>8.29</v>
      </c>
      <c r="K84" s="15" t="s">
        <v>402</v>
      </c>
      <c r="L84" s="15" t="s">
        <v>403</v>
      </c>
    </row>
    <row r="85" customFormat="false" ht="15" hidden="false" customHeight="false" outlineLevel="0" collapsed="false">
      <c r="A85" s="6" t="s">
        <v>113</v>
      </c>
      <c r="B85" s="7" t="s">
        <v>23</v>
      </c>
      <c r="C85" s="6" t="s">
        <v>114</v>
      </c>
      <c r="D85" s="8" t="n">
        <v>5.67</v>
      </c>
      <c r="E85" s="8" t="n">
        <v>39.4</v>
      </c>
      <c r="F85" s="9" t="n">
        <f aca="false">IFERROR((E85-D85)/E85,"")</f>
        <v>0.856091370558376</v>
      </c>
      <c r="G85" s="8" t="n">
        <v>21.59</v>
      </c>
      <c r="H85" s="8" t="n">
        <v>14.51</v>
      </c>
      <c r="I85" s="8" t="n">
        <v>9.4</v>
      </c>
      <c r="J85" s="8" t="n">
        <v>9.37</v>
      </c>
      <c r="K85" s="6" t="s">
        <v>404</v>
      </c>
      <c r="L85" s="6" t="s">
        <v>403</v>
      </c>
    </row>
    <row r="86" customFormat="false" ht="15" hidden="false" customHeight="false" outlineLevel="0" collapsed="false">
      <c r="A86" s="15" t="s">
        <v>113</v>
      </c>
      <c r="B86" s="16" t="s">
        <v>25</v>
      </c>
      <c r="C86" s="15" t="s">
        <v>114</v>
      </c>
      <c r="D86" s="17" t="n">
        <v>6.24</v>
      </c>
      <c r="E86" s="17" t="n">
        <v>41.19</v>
      </c>
      <c r="F86" s="18" t="n">
        <f aca="false">IFERROR((E86-D86)/E86,"")</f>
        <v>0.848506919155135</v>
      </c>
      <c r="G86" s="17" t="n">
        <v>23.78</v>
      </c>
      <c r="H86" s="17" t="n">
        <v>18.06</v>
      </c>
      <c r="I86" s="17" t="n">
        <v>16.06</v>
      </c>
      <c r="J86" s="17" t="n">
        <v>15.33</v>
      </c>
      <c r="K86" s="15" t="s">
        <v>402</v>
      </c>
      <c r="L86" s="15" t="s">
        <v>403</v>
      </c>
    </row>
    <row r="87" customFormat="false" ht="15" hidden="false" customHeight="false" outlineLevel="0" collapsed="false">
      <c r="A87" s="6" t="s">
        <v>115</v>
      </c>
      <c r="B87" s="7" t="s">
        <v>27</v>
      </c>
      <c r="C87" s="6" t="s">
        <v>116</v>
      </c>
      <c r="D87" s="8" t="n">
        <v>5.49</v>
      </c>
      <c r="E87" s="8" t="n">
        <v>47.81</v>
      </c>
      <c r="F87" s="9" t="n">
        <f aca="false">IFERROR((E87-D87)/E87,"")</f>
        <v>0.885170466429617</v>
      </c>
      <c r="G87" s="8" t="n">
        <v>25.28</v>
      </c>
      <c r="H87" s="8" t="n">
        <v>18.33</v>
      </c>
      <c r="I87" s="8" t="n">
        <v>14.61</v>
      </c>
      <c r="J87" s="8" t="n">
        <v>16.4</v>
      </c>
      <c r="K87" s="6" t="s">
        <v>404</v>
      </c>
      <c r="L87" s="6" t="s">
        <v>403</v>
      </c>
    </row>
    <row r="88" customFormat="false" ht="15" hidden="false" customHeight="false" outlineLevel="0" collapsed="false">
      <c r="A88" s="15" t="s">
        <v>115</v>
      </c>
      <c r="B88" s="16" t="s">
        <v>23</v>
      </c>
      <c r="C88" s="15" t="s">
        <v>116</v>
      </c>
      <c r="D88" s="17" t="n">
        <v>6.23</v>
      </c>
      <c r="E88" s="17" t="n">
        <v>54.44</v>
      </c>
      <c r="F88" s="18" t="n">
        <f aca="false">IFERROR((E88-D88)/E88,"")</f>
        <v>0.885562086700955</v>
      </c>
      <c r="G88" s="17" t="n">
        <v>28.88</v>
      </c>
      <c r="H88" s="17" t="n">
        <v>21.25</v>
      </c>
      <c r="I88" s="17" t="n">
        <v>18.89</v>
      </c>
      <c r="J88" s="17" t="n">
        <v>15.45</v>
      </c>
      <c r="K88" s="15" t="s">
        <v>402</v>
      </c>
      <c r="L88" s="15" t="s">
        <v>406</v>
      </c>
    </row>
    <row r="89" customFormat="false" ht="15" hidden="false" customHeight="false" outlineLevel="0" collapsed="false">
      <c r="A89" s="6" t="s">
        <v>115</v>
      </c>
      <c r="B89" s="7" t="s">
        <v>25</v>
      </c>
      <c r="C89" s="6" t="s">
        <v>116</v>
      </c>
      <c r="D89" s="8" t="n">
        <v>6.85</v>
      </c>
      <c r="E89" s="8" t="n">
        <v>50.06</v>
      </c>
      <c r="F89" s="9" t="n">
        <f aca="false">IFERROR((E89-D89)/E89,"")</f>
        <v>0.863164202956452</v>
      </c>
      <c r="G89" s="8" t="n">
        <v>26.92</v>
      </c>
      <c r="H89" s="8" t="n">
        <v>23.56</v>
      </c>
      <c r="I89" s="8" t="n">
        <v>17.39</v>
      </c>
      <c r="J89" s="8" t="n">
        <v>19.52</v>
      </c>
      <c r="K89" s="6" t="s">
        <v>402</v>
      </c>
      <c r="L89" s="6" t="s">
        <v>406</v>
      </c>
    </row>
    <row r="90" customFormat="false" ht="15" hidden="false" customHeight="false" outlineLevel="0" collapsed="false">
      <c r="A90" s="15" t="s">
        <v>117</v>
      </c>
      <c r="B90" s="16" t="s">
        <v>27</v>
      </c>
      <c r="C90" s="15" t="s">
        <v>118</v>
      </c>
      <c r="D90" s="17" t="n">
        <v>4.56</v>
      </c>
      <c r="E90" s="17" t="n">
        <v>33.33</v>
      </c>
      <c r="F90" s="18" t="n">
        <f aca="false">IFERROR((E90-D90)/E90,"")</f>
        <v>0.863186318631863</v>
      </c>
      <c r="G90" s="17" t="n">
        <v>21.1</v>
      </c>
      <c r="H90" s="17" t="n">
        <v>17.71</v>
      </c>
      <c r="I90" s="17" t="n">
        <v>14.32</v>
      </c>
      <c r="J90" s="17" t="n">
        <v>13.54</v>
      </c>
      <c r="K90" s="15" t="s">
        <v>402</v>
      </c>
      <c r="L90" s="15" t="s">
        <v>403</v>
      </c>
    </row>
    <row r="91" customFormat="false" ht="15" hidden="false" customHeight="false" outlineLevel="0" collapsed="false">
      <c r="A91" s="6" t="s">
        <v>119</v>
      </c>
      <c r="B91" s="7" t="s">
        <v>27</v>
      </c>
      <c r="C91" s="6" t="s">
        <v>120</v>
      </c>
      <c r="D91" s="8" t="n">
        <v>4.64</v>
      </c>
      <c r="E91" s="8" t="n">
        <v>31.33</v>
      </c>
      <c r="F91" s="9" t="n">
        <f aca="false">IFERROR((E91-D91)/E91,"")</f>
        <v>0.851899138206192</v>
      </c>
      <c r="G91" s="8" t="n">
        <v>19.84</v>
      </c>
      <c r="H91" s="8" t="n">
        <v>16.77</v>
      </c>
      <c r="I91" s="8" t="n">
        <v>14.16</v>
      </c>
      <c r="J91" s="8" t="n">
        <v>12.97</v>
      </c>
      <c r="K91" s="6" t="s">
        <v>402</v>
      </c>
      <c r="L91" s="6" t="s">
        <v>403</v>
      </c>
    </row>
    <row r="92" customFormat="false" ht="15" hidden="false" customHeight="false" outlineLevel="0" collapsed="false">
      <c r="A92" s="15" t="s">
        <v>121</v>
      </c>
      <c r="B92" s="16" t="s">
        <v>27</v>
      </c>
      <c r="C92" s="15" t="s">
        <v>122</v>
      </c>
      <c r="D92" s="17" t="n">
        <v>4.54</v>
      </c>
      <c r="E92" s="17" t="n">
        <v>29.04</v>
      </c>
      <c r="F92" s="18" t="n">
        <f aca="false">IFERROR((E92-D92)/E92,"")</f>
        <v>0.84366391184573</v>
      </c>
      <c r="G92" s="17" t="n">
        <v>28.2</v>
      </c>
      <c r="H92" s="17" t="n">
        <v>10.63</v>
      </c>
      <c r="I92" s="17" t="n">
        <v>8.65</v>
      </c>
      <c r="J92" s="17" t="n">
        <v>15.2</v>
      </c>
      <c r="K92" s="15" t="s">
        <v>402</v>
      </c>
      <c r="L92" s="15" t="s">
        <v>403</v>
      </c>
    </row>
    <row r="93" customFormat="false" ht="15" hidden="false" customHeight="false" outlineLevel="0" collapsed="false">
      <c r="A93" s="6" t="s">
        <v>123</v>
      </c>
      <c r="B93" s="7" t="s">
        <v>27</v>
      </c>
      <c r="C93" s="6" t="s">
        <v>124</v>
      </c>
      <c r="D93" s="8" t="n">
        <v>4.6</v>
      </c>
      <c r="E93" s="8" t="n">
        <v>26.6</v>
      </c>
      <c r="F93" s="9" t="n">
        <f aca="false">IFERROR((E93-D93)/E93,"")</f>
        <v>0.827067669172932</v>
      </c>
      <c r="G93" s="8" t="n">
        <v>17.14</v>
      </c>
      <c r="H93" s="8" t="n">
        <v>11.35</v>
      </c>
      <c r="I93" s="8" t="n">
        <v>8.65</v>
      </c>
      <c r="J93" s="8" t="n">
        <v>8.43</v>
      </c>
      <c r="K93" s="6" t="s">
        <v>402</v>
      </c>
      <c r="L93" s="6" t="s">
        <v>403</v>
      </c>
    </row>
    <row r="94" customFormat="false" ht="15" hidden="false" customHeight="false" outlineLevel="0" collapsed="false">
      <c r="A94" s="15" t="s">
        <v>125</v>
      </c>
      <c r="B94" s="16" t="s">
        <v>27</v>
      </c>
      <c r="C94" s="15" t="s">
        <v>126</v>
      </c>
      <c r="D94" s="17" t="n">
        <v>4.4</v>
      </c>
      <c r="E94" s="17" t="n">
        <v>34.46</v>
      </c>
      <c r="F94" s="18" t="n">
        <f aca="false">IFERROR((E94-D94)/E94,"")</f>
        <v>0.872315728380731</v>
      </c>
      <c r="G94" s="17" t="n">
        <v>20.89</v>
      </c>
      <c r="H94" s="17" t="n">
        <v>13.93</v>
      </c>
      <c r="I94" s="17" t="n">
        <v>12.36</v>
      </c>
      <c r="J94" s="17" t="n">
        <v>8.8</v>
      </c>
      <c r="K94" s="15" t="s">
        <v>402</v>
      </c>
      <c r="L94" s="15" t="s">
        <v>403</v>
      </c>
    </row>
    <row r="95" customFormat="false" ht="15" hidden="false" customHeight="false" outlineLevel="0" collapsed="false">
      <c r="A95" s="6" t="s">
        <v>125</v>
      </c>
      <c r="B95" s="7" t="s">
        <v>23</v>
      </c>
      <c r="C95" s="6" t="s">
        <v>126</v>
      </c>
      <c r="D95" s="8" t="n">
        <v>4.68</v>
      </c>
      <c r="E95" s="8" t="n">
        <v>36.68</v>
      </c>
      <c r="F95" s="9" t="n">
        <f aca="false">IFERROR((E95-D95)/E95,"")</f>
        <v>0.872410032715376</v>
      </c>
      <c r="G95" s="8" t="n">
        <v>22.91</v>
      </c>
      <c r="H95" s="8" t="n">
        <v>19.97</v>
      </c>
      <c r="I95" s="8" t="n">
        <v>18.01</v>
      </c>
      <c r="J95" s="8" t="n">
        <v>16.09</v>
      </c>
      <c r="K95" s="6" t="s">
        <v>402</v>
      </c>
      <c r="L95" s="6" t="s">
        <v>403</v>
      </c>
    </row>
    <row r="96" customFormat="false" ht="15" hidden="false" customHeight="false" outlineLevel="0" collapsed="false">
      <c r="A96" s="15" t="s">
        <v>125</v>
      </c>
      <c r="B96" s="16" t="s">
        <v>25</v>
      </c>
      <c r="C96" s="15" t="s">
        <v>126</v>
      </c>
      <c r="D96" s="17" t="n">
        <v>5.15</v>
      </c>
      <c r="E96" s="17" t="n">
        <v>36.08</v>
      </c>
      <c r="F96" s="18" t="n">
        <f aca="false">IFERROR((E96-D96)/E96,"")</f>
        <v>0.857261640798226</v>
      </c>
      <c r="G96" s="17" t="n">
        <v>22.25</v>
      </c>
      <c r="H96" s="17" t="n">
        <v>17.91</v>
      </c>
      <c r="I96" s="17" t="n">
        <v>14.71</v>
      </c>
      <c r="J96" s="17" t="n">
        <v>10.47</v>
      </c>
      <c r="K96" s="15" t="s">
        <v>404</v>
      </c>
      <c r="L96" s="15" t="s">
        <v>403</v>
      </c>
    </row>
    <row r="97" customFormat="false" ht="15" hidden="false" customHeight="false" outlineLevel="0" collapsed="false">
      <c r="A97" s="6" t="s">
        <v>127</v>
      </c>
      <c r="B97" s="7" t="s">
        <v>27</v>
      </c>
      <c r="C97" s="6" t="s">
        <v>128</v>
      </c>
      <c r="D97" s="8" t="n">
        <v>4.46</v>
      </c>
      <c r="E97" s="8" t="n">
        <v>43.87</v>
      </c>
      <c r="F97" s="9" t="n">
        <f aca="false">IFERROR((E97-D97)/E97,"")</f>
        <v>0.898335992705721</v>
      </c>
      <c r="G97" s="8" t="n">
        <v>18.89</v>
      </c>
      <c r="H97" s="8" t="n">
        <v>14.88</v>
      </c>
      <c r="I97" s="8" t="n">
        <v>12.6</v>
      </c>
      <c r="J97" s="8" t="n">
        <v>11.65</v>
      </c>
      <c r="K97" s="6" t="s">
        <v>402</v>
      </c>
      <c r="L97" s="6" t="s">
        <v>403</v>
      </c>
    </row>
    <row r="98" customFormat="false" ht="15" hidden="false" customHeight="false" outlineLevel="0" collapsed="false">
      <c r="A98" s="15" t="s">
        <v>129</v>
      </c>
      <c r="B98" s="16" t="s">
        <v>27</v>
      </c>
      <c r="C98" s="15" t="s">
        <v>130</v>
      </c>
      <c r="D98" s="17" t="n">
        <v>4.33</v>
      </c>
      <c r="E98" s="17" t="n">
        <v>37.83</v>
      </c>
      <c r="F98" s="18" t="n">
        <f aca="false">IFERROR((E98-D98)/E98,"")</f>
        <v>0.885540576262226</v>
      </c>
      <c r="G98" s="17" t="n">
        <v>19.52</v>
      </c>
      <c r="H98" s="17" t="n">
        <v>14.16</v>
      </c>
      <c r="I98" s="17" t="n">
        <v>12.55</v>
      </c>
      <c r="J98" s="17" t="n">
        <v>11.78</v>
      </c>
      <c r="K98" s="15" t="s">
        <v>402</v>
      </c>
      <c r="L98" s="15" t="s">
        <v>403</v>
      </c>
    </row>
    <row r="99" customFormat="false" ht="15" hidden="false" customHeight="false" outlineLevel="0" collapsed="false">
      <c r="A99" s="6" t="s">
        <v>131</v>
      </c>
      <c r="B99" s="7" t="s">
        <v>27</v>
      </c>
      <c r="C99" s="6" t="s">
        <v>132</v>
      </c>
      <c r="D99" s="8" t="n">
        <v>4.38</v>
      </c>
      <c r="E99" s="8" t="n">
        <v>39.69</v>
      </c>
      <c r="F99" s="9" t="n">
        <f aca="false">IFERROR((E99-D99)/E99,"")</f>
        <v>0.889644746787604</v>
      </c>
      <c r="G99" s="8" t="n">
        <v>24.39</v>
      </c>
      <c r="H99" s="8" t="n">
        <v>16.52</v>
      </c>
      <c r="I99" s="8" t="n">
        <v>15.63</v>
      </c>
      <c r="J99" s="8" t="n">
        <v>11.04</v>
      </c>
      <c r="K99" s="6" t="s">
        <v>404</v>
      </c>
      <c r="L99" s="6" t="s">
        <v>403</v>
      </c>
    </row>
    <row r="100" customFormat="false" ht="15" hidden="false" customHeight="false" outlineLevel="0" collapsed="false">
      <c r="A100" s="15" t="s">
        <v>131</v>
      </c>
      <c r="B100" s="16" t="s">
        <v>23</v>
      </c>
      <c r="C100" s="15" t="s">
        <v>132</v>
      </c>
      <c r="D100" s="17" t="n">
        <v>4.75</v>
      </c>
      <c r="E100" s="17" t="n">
        <v>34.24</v>
      </c>
      <c r="F100" s="18" t="n">
        <f aca="false">IFERROR((E100-D100)/E100,"")</f>
        <v>0.861273364485981</v>
      </c>
      <c r="G100" s="17" t="n">
        <v>21.38</v>
      </c>
      <c r="H100" s="17" t="n">
        <v>17.88</v>
      </c>
      <c r="I100" s="17" t="n">
        <v>15.58</v>
      </c>
      <c r="J100" s="17" t="n">
        <v>14.78</v>
      </c>
      <c r="K100" s="15" t="s">
        <v>402</v>
      </c>
      <c r="L100" s="15" t="s">
        <v>403</v>
      </c>
    </row>
    <row r="101" customFormat="false" ht="15" hidden="false" customHeight="false" outlineLevel="0" collapsed="false">
      <c r="A101" s="6" t="s">
        <v>131</v>
      </c>
      <c r="B101" s="7" t="s">
        <v>25</v>
      </c>
      <c r="C101" s="6" t="s">
        <v>132</v>
      </c>
      <c r="D101" s="8" t="n">
        <v>5.23</v>
      </c>
      <c r="E101" s="8" t="n">
        <v>41.56</v>
      </c>
      <c r="F101" s="9" t="n">
        <f aca="false">IFERROR((E101-D101)/E101,"")</f>
        <v>0.874157844080847</v>
      </c>
      <c r="G101" s="8" t="n">
        <v>25.97</v>
      </c>
      <c r="H101" s="8" t="n">
        <v>21.23</v>
      </c>
      <c r="I101" s="8" t="n">
        <v>18.6</v>
      </c>
      <c r="J101" s="8" t="n">
        <v>13.14</v>
      </c>
      <c r="K101" s="6" t="s">
        <v>402</v>
      </c>
      <c r="L101" s="6" t="s">
        <v>403</v>
      </c>
    </row>
    <row r="102" customFormat="false" ht="15" hidden="false" customHeight="false" outlineLevel="0" collapsed="false">
      <c r="A102" s="15" t="s">
        <v>133</v>
      </c>
      <c r="B102" s="16" t="s">
        <v>27</v>
      </c>
      <c r="C102" s="15" t="s">
        <v>134</v>
      </c>
      <c r="D102" s="17" t="n">
        <v>4.6</v>
      </c>
      <c r="E102" s="17" t="n">
        <v>31.33</v>
      </c>
      <c r="F102" s="18" t="n">
        <f aca="false">IFERROR((E102-D102)/E102,"")</f>
        <v>0.85317586977338</v>
      </c>
      <c r="G102" s="17" t="n">
        <v>19.84</v>
      </c>
      <c r="H102" s="17" t="n">
        <v>15.82</v>
      </c>
      <c r="I102" s="17" t="n">
        <v>12.9</v>
      </c>
      <c r="J102" s="17" t="n">
        <v>11.52</v>
      </c>
      <c r="K102" s="15" t="s">
        <v>402</v>
      </c>
      <c r="L102" s="15" t="s">
        <v>403</v>
      </c>
    </row>
    <row r="103" customFormat="false" ht="15" hidden="false" customHeight="false" outlineLevel="0" collapsed="false">
      <c r="A103" s="6" t="s">
        <v>133</v>
      </c>
      <c r="B103" s="7" t="s">
        <v>23</v>
      </c>
      <c r="C103" s="6" t="s">
        <v>134</v>
      </c>
      <c r="D103" s="8" t="n">
        <v>5</v>
      </c>
      <c r="E103" s="8" t="n">
        <v>34.44</v>
      </c>
      <c r="F103" s="9" t="n">
        <f aca="false">IFERROR((E103-D103)/E103,"")</f>
        <v>0.854819976771196</v>
      </c>
      <c r="G103" s="8" t="n">
        <v>21.66</v>
      </c>
      <c r="H103" s="8" t="n">
        <v>16.3</v>
      </c>
      <c r="I103" s="8" t="n">
        <v>12.54</v>
      </c>
      <c r="J103" s="8" t="n">
        <v>12.29</v>
      </c>
      <c r="K103" s="6" t="s">
        <v>402</v>
      </c>
      <c r="L103" s="6" t="s">
        <v>403</v>
      </c>
    </row>
    <row r="104" customFormat="false" ht="15" hidden="false" customHeight="false" outlineLevel="0" collapsed="false">
      <c r="A104" s="15" t="s">
        <v>133</v>
      </c>
      <c r="B104" s="16" t="s">
        <v>25</v>
      </c>
      <c r="C104" s="15" t="s">
        <v>134</v>
      </c>
      <c r="D104" s="17" t="n">
        <v>5.5</v>
      </c>
      <c r="E104" s="17" t="n">
        <v>39.67</v>
      </c>
      <c r="F104" s="18" t="n">
        <f aca="false">IFERROR((E104-D104)/E104,"")</f>
        <v>0.861356188555584</v>
      </c>
      <c r="G104" s="17" t="n">
        <v>25.02</v>
      </c>
      <c r="H104" s="17" t="n">
        <v>22.19</v>
      </c>
      <c r="I104" s="17" t="n">
        <v>15.26</v>
      </c>
      <c r="J104" s="17" t="n">
        <v>12.4</v>
      </c>
      <c r="K104" s="15" t="s">
        <v>402</v>
      </c>
      <c r="L104" s="15" t="s">
        <v>403</v>
      </c>
    </row>
    <row r="105" customFormat="false" ht="15" hidden="false" customHeight="false" outlineLevel="0" collapsed="false">
      <c r="A105" s="6" t="s">
        <v>135</v>
      </c>
      <c r="B105" s="7" t="s">
        <v>27</v>
      </c>
      <c r="C105" s="6" t="s">
        <v>136</v>
      </c>
      <c r="D105" s="8" t="n">
        <v>4.97</v>
      </c>
      <c r="E105" s="8" t="n">
        <v>35.97</v>
      </c>
      <c r="F105" s="9" t="n">
        <f aca="false">IFERROR((E105-D105)/E105,"")</f>
        <v>0.861829302196275</v>
      </c>
      <c r="G105" s="8" t="n">
        <v>23.35</v>
      </c>
      <c r="H105" s="8" t="n">
        <v>13.55</v>
      </c>
      <c r="I105" s="8" t="n">
        <v>14.09</v>
      </c>
      <c r="J105" s="8" t="n">
        <v>14.02</v>
      </c>
      <c r="K105" s="6" t="s">
        <v>402</v>
      </c>
      <c r="L105" s="6" t="s">
        <v>403</v>
      </c>
    </row>
    <row r="106" customFormat="false" ht="15" hidden="false" customHeight="false" outlineLevel="0" collapsed="false">
      <c r="A106" s="15" t="s">
        <v>137</v>
      </c>
      <c r="B106" s="16" t="s">
        <v>27</v>
      </c>
      <c r="C106" s="15" t="s">
        <v>138</v>
      </c>
      <c r="D106" s="17" t="n">
        <v>5.35</v>
      </c>
      <c r="E106" s="17" t="n">
        <v>40.98</v>
      </c>
      <c r="F106" s="18" t="n">
        <f aca="false">IFERROR((E106-D106)/E106,"")</f>
        <v>0.869448511469009</v>
      </c>
      <c r="G106" s="17" t="n">
        <v>26.48</v>
      </c>
      <c r="H106" s="17" t="n">
        <v>16.88</v>
      </c>
      <c r="I106" s="17" t="n">
        <v>16.4</v>
      </c>
      <c r="J106" s="17" t="n">
        <v>15.8</v>
      </c>
      <c r="K106" s="15" t="s">
        <v>404</v>
      </c>
      <c r="L106" s="15" t="s">
        <v>403</v>
      </c>
    </row>
    <row r="107" customFormat="false" ht="15" hidden="false" customHeight="false" outlineLevel="0" collapsed="false">
      <c r="A107" s="6" t="s">
        <v>139</v>
      </c>
      <c r="B107" s="7" t="s">
        <v>27</v>
      </c>
      <c r="C107" s="6" t="s">
        <v>140</v>
      </c>
      <c r="D107" s="8" t="n">
        <v>4.92</v>
      </c>
      <c r="E107" s="8" t="n">
        <v>37.86</v>
      </c>
      <c r="F107" s="9" t="n">
        <f aca="false">IFERROR((E107-D107)/E107,"")</f>
        <v>0.870047543581616</v>
      </c>
      <c r="G107" s="8" t="n">
        <v>23.48</v>
      </c>
      <c r="H107" s="8" t="n">
        <v>9.57</v>
      </c>
      <c r="I107" s="8" t="n">
        <v>16.92</v>
      </c>
      <c r="J107" s="8" t="n">
        <v>16.03</v>
      </c>
      <c r="K107" s="6" t="s">
        <v>404</v>
      </c>
      <c r="L107" s="6" t="s">
        <v>403</v>
      </c>
    </row>
    <row r="108" customFormat="false" ht="15" hidden="false" customHeight="false" outlineLevel="0" collapsed="false">
      <c r="A108" s="15" t="s">
        <v>141</v>
      </c>
      <c r="B108" s="16" t="s">
        <v>27</v>
      </c>
      <c r="C108" s="15" t="s">
        <v>142</v>
      </c>
      <c r="D108" s="17" t="n">
        <v>4.38</v>
      </c>
      <c r="E108" s="17" t="n">
        <v>28.3</v>
      </c>
      <c r="F108" s="18" t="n">
        <f aca="false">IFERROR((E108-D108)/E108,"")</f>
        <v>0.845229681978799</v>
      </c>
      <c r="G108" s="17" t="n">
        <v>15.55</v>
      </c>
      <c r="H108" s="17" t="n">
        <v>7.34</v>
      </c>
      <c r="I108" s="17" t="n">
        <v>6.65</v>
      </c>
      <c r="J108" s="17" t="n">
        <v>5.83</v>
      </c>
      <c r="K108" s="15" t="s">
        <v>402</v>
      </c>
      <c r="L108" s="15" t="s">
        <v>403</v>
      </c>
    </row>
    <row r="109" customFormat="false" ht="15" hidden="false" customHeight="false" outlineLevel="0" collapsed="false">
      <c r="A109" s="6" t="s">
        <v>141</v>
      </c>
      <c r="B109" s="7" t="s">
        <v>23</v>
      </c>
      <c r="C109" s="6" t="s">
        <v>142</v>
      </c>
      <c r="D109" s="8" t="n">
        <v>4.82</v>
      </c>
      <c r="E109" s="8" t="n">
        <v>31.13</v>
      </c>
      <c r="F109" s="9" t="n">
        <f aca="false">IFERROR((E109-D109)/E109,"")</f>
        <v>0.845165435271442</v>
      </c>
      <c r="G109" s="8" t="n">
        <v>18.33</v>
      </c>
      <c r="H109" s="8" t="n">
        <v>8.49</v>
      </c>
      <c r="I109" s="8" t="n">
        <v>7.55</v>
      </c>
      <c r="J109" s="8" t="n">
        <v>6.61</v>
      </c>
      <c r="K109" s="6" t="s">
        <v>402</v>
      </c>
      <c r="L109" s="6" t="s">
        <v>403</v>
      </c>
    </row>
    <row r="110" customFormat="false" ht="15" hidden="false" customHeight="false" outlineLevel="0" collapsed="false">
      <c r="A110" s="15" t="s">
        <v>141</v>
      </c>
      <c r="B110" s="16" t="s">
        <v>25</v>
      </c>
      <c r="C110" s="15" t="s">
        <v>142</v>
      </c>
      <c r="D110" s="17" t="n">
        <v>5.31</v>
      </c>
      <c r="E110" s="17" t="n">
        <v>31.76</v>
      </c>
      <c r="F110" s="18" t="n">
        <f aca="false">IFERROR((E110-D110)/E110,"")</f>
        <v>0.832808564231738</v>
      </c>
      <c r="G110" s="17" t="n">
        <v>18.89</v>
      </c>
      <c r="H110" s="17" t="n">
        <v>9.55</v>
      </c>
      <c r="I110" s="17" t="n">
        <v>7.79</v>
      </c>
      <c r="J110" s="17" t="n">
        <v>7.22</v>
      </c>
      <c r="K110" s="15" t="s">
        <v>402</v>
      </c>
      <c r="L110" s="15" t="s">
        <v>403</v>
      </c>
    </row>
    <row r="111" customFormat="false" ht="15" hidden="false" customHeight="false" outlineLevel="0" collapsed="false">
      <c r="A111" s="6" t="s">
        <v>143</v>
      </c>
      <c r="B111" s="7" t="s">
        <v>27</v>
      </c>
      <c r="C111" s="6" t="s">
        <v>144</v>
      </c>
      <c r="D111" s="8" t="n">
        <v>4.82</v>
      </c>
      <c r="E111" s="8" t="n">
        <v>32.09</v>
      </c>
      <c r="F111" s="9" t="n">
        <f aca="false">IFERROR((E111-D111)/E111,"")</f>
        <v>0.849797444686818</v>
      </c>
      <c r="G111" s="8" t="n">
        <v>16.62</v>
      </c>
      <c r="H111" s="8" t="n">
        <v>11.21</v>
      </c>
      <c r="I111" s="8" t="n">
        <v>9.75</v>
      </c>
      <c r="J111" s="8" t="n">
        <v>9.72</v>
      </c>
      <c r="K111" s="6" t="s">
        <v>402</v>
      </c>
      <c r="L111" s="6" t="s">
        <v>403</v>
      </c>
    </row>
    <row r="112" customFormat="false" ht="15" hidden="false" customHeight="false" outlineLevel="0" collapsed="false">
      <c r="A112" s="15" t="s">
        <v>143</v>
      </c>
      <c r="B112" s="16" t="s">
        <v>23</v>
      </c>
      <c r="C112" s="15" t="s">
        <v>144</v>
      </c>
      <c r="D112" s="17" t="n">
        <v>5.2</v>
      </c>
      <c r="E112" s="17" t="n">
        <v>46.44</v>
      </c>
      <c r="F112" s="18" t="n">
        <f aca="false">IFERROR((E112-D112)/E112,"")</f>
        <v>0.888027562446167</v>
      </c>
      <c r="G112" s="17" t="n">
        <v>30.23</v>
      </c>
      <c r="H112" s="17" t="n">
        <v>18.37</v>
      </c>
      <c r="I112" s="17" t="n">
        <v>15.91</v>
      </c>
      <c r="J112" s="17" t="n">
        <v>14.41</v>
      </c>
      <c r="K112" s="15" t="s">
        <v>402</v>
      </c>
      <c r="L112" s="15" t="s">
        <v>403</v>
      </c>
    </row>
    <row r="113" customFormat="false" ht="15" hidden="false" customHeight="false" outlineLevel="0" collapsed="false">
      <c r="A113" s="6" t="s">
        <v>143</v>
      </c>
      <c r="B113" s="7" t="s">
        <v>25</v>
      </c>
      <c r="C113" s="6" t="s">
        <v>144</v>
      </c>
      <c r="D113" s="8" t="n">
        <v>5.72</v>
      </c>
      <c r="E113" s="8" t="n">
        <v>41.52</v>
      </c>
      <c r="F113" s="9" t="n">
        <f aca="false">IFERROR((E113-D113)/E113,"")</f>
        <v>0.86223506743738</v>
      </c>
      <c r="G113" s="8" t="n">
        <v>27.23</v>
      </c>
      <c r="H113" s="8" t="n">
        <v>20.88</v>
      </c>
      <c r="I113" s="8" t="n">
        <v>17.66</v>
      </c>
      <c r="J113" s="8" t="n">
        <v>16.74</v>
      </c>
      <c r="K113" s="6" t="s">
        <v>402</v>
      </c>
      <c r="L113" s="6" t="s">
        <v>403</v>
      </c>
    </row>
    <row r="114" customFormat="false" ht="15" hidden="false" customHeight="false" outlineLevel="0" collapsed="false">
      <c r="A114" s="15" t="s">
        <v>145</v>
      </c>
      <c r="B114" s="16" t="s">
        <v>27</v>
      </c>
      <c r="C114" s="15" t="s">
        <v>146</v>
      </c>
      <c r="D114" s="17" t="n">
        <v>4.52</v>
      </c>
      <c r="E114" s="17" t="n">
        <v>29.99</v>
      </c>
      <c r="F114" s="18" t="n">
        <f aca="false">IFERROR((E114-D114)/E114,"")</f>
        <v>0.849283094364788</v>
      </c>
      <c r="G114" s="17" t="n">
        <v>16.65</v>
      </c>
      <c r="H114" s="17" t="n">
        <v>11.26</v>
      </c>
      <c r="I114" s="17" t="n">
        <v>7.49</v>
      </c>
      <c r="J114" s="17" t="n">
        <v>7.65</v>
      </c>
      <c r="K114" s="15" t="s">
        <v>402</v>
      </c>
      <c r="L114" s="15" t="s">
        <v>403</v>
      </c>
    </row>
    <row r="115" customFormat="false" ht="15" hidden="false" customHeight="false" outlineLevel="0" collapsed="false">
      <c r="A115" s="6" t="s">
        <v>147</v>
      </c>
      <c r="B115" s="7" t="s">
        <v>27</v>
      </c>
      <c r="C115" s="6" t="s">
        <v>148</v>
      </c>
      <c r="D115" s="8" t="n">
        <v>4.76</v>
      </c>
      <c r="E115" s="8" t="n">
        <v>40.57</v>
      </c>
      <c r="F115" s="9" t="n">
        <f aca="false">IFERROR((E115-D115)/E115,"")</f>
        <v>0.882671925067784</v>
      </c>
      <c r="G115" s="8" t="n">
        <v>21.26</v>
      </c>
      <c r="H115" s="8" t="n">
        <v>7.36</v>
      </c>
      <c r="I115" s="8" t="n">
        <v>8.97</v>
      </c>
      <c r="J115" s="8" t="n">
        <v>8.66</v>
      </c>
      <c r="K115" s="6" t="s">
        <v>404</v>
      </c>
      <c r="L115" s="6" t="s">
        <v>149</v>
      </c>
    </row>
    <row r="116" customFormat="false" ht="15" hidden="false" customHeight="false" outlineLevel="0" collapsed="false">
      <c r="A116" s="15" t="s">
        <v>147</v>
      </c>
      <c r="B116" s="16" t="s">
        <v>23</v>
      </c>
      <c r="C116" s="15" t="s">
        <v>149</v>
      </c>
      <c r="D116" s="17" t="n">
        <v>4.73</v>
      </c>
      <c r="E116" s="17" t="n">
        <v>41.1</v>
      </c>
      <c r="F116" s="18" t="n">
        <f aca="false">IFERROR((E116-D116)/E116,"")</f>
        <v>0.884914841849149</v>
      </c>
      <c r="G116" s="17" t="n">
        <v>21.66</v>
      </c>
      <c r="H116" s="17" t="n">
        <v>12.27</v>
      </c>
      <c r="I116" s="17" t="n">
        <v>9.86</v>
      </c>
      <c r="J116" s="17" t="n">
        <v>9.71</v>
      </c>
      <c r="K116" s="15" t="s">
        <v>402</v>
      </c>
      <c r="L116" s="15" t="s">
        <v>403</v>
      </c>
    </row>
    <row r="117" customFormat="false" ht="15" hidden="false" customHeight="false" outlineLevel="0" collapsed="false">
      <c r="A117" s="6" t="s">
        <v>147</v>
      </c>
      <c r="B117" s="7" t="s">
        <v>25</v>
      </c>
      <c r="C117" s="6" t="s">
        <v>149</v>
      </c>
      <c r="D117" s="8" t="n">
        <v>5.21</v>
      </c>
      <c r="E117" s="8" t="n">
        <v>42.48</v>
      </c>
      <c r="F117" s="9" t="n">
        <f aca="false">IFERROR((E117-D117)/E117,"")</f>
        <v>0.877354048964218</v>
      </c>
      <c r="G117" s="8" t="n">
        <v>22.63</v>
      </c>
      <c r="H117" s="8" t="n">
        <v>9.46</v>
      </c>
      <c r="I117" s="8" t="n">
        <v>10.67</v>
      </c>
      <c r="J117" s="8" t="n">
        <v>10.3</v>
      </c>
      <c r="K117" s="6" t="s">
        <v>404</v>
      </c>
      <c r="L117" s="6" t="s">
        <v>403</v>
      </c>
    </row>
    <row r="118" customFormat="false" ht="15" hidden="false" customHeight="false" outlineLevel="0" collapsed="false">
      <c r="A118" s="15" t="s">
        <v>150</v>
      </c>
      <c r="B118" s="16" t="s">
        <v>27</v>
      </c>
      <c r="C118" s="15" t="s">
        <v>151</v>
      </c>
      <c r="D118" s="17" t="n">
        <v>4.7</v>
      </c>
      <c r="E118" s="17" t="n">
        <v>30.28</v>
      </c>
      <c r="F118" s="18" t="n">
        <f aca="false">IFERROR((E118-D118)/E118,"")</f>
        <v>0.844782034346103</v>
      </c>
      <c r="G118" s="17" t="n">
        <v>17.23</v>
      </c>
      <c r="H118" s="17" t="n">
        <v>9.79</v>
      </c>
      <c r="I118" s="17" t="n">
        <v>7.49</v>
      </c>
      <c r="J118" s="17" t="n">
        <v>6.74</v>
      </c>
      <c r="K118" s="15" t="s">
        <v>402</v>
      </c>
      <c r="L118" s="15" t="s">
        <v>403</v>
      </c>
    </row>
    <row r="119" customFormat="false" ht="15" hidden="false" customHeight="false" outlineLevel="0" collapsed="false">
      <c r="A119" s="6" t="s">
        <v>150</v>
      </c>
      <c r="B119" s="7" t="s">
        <v>23</v>
      </c>
      <c r="C119" s="6" t="s">
        <v>151</v>
      </c>
      <c r="D119" s="8" t="n">
        <v>5.35</v>
      </c>
      <c r="E119" s="8" t="n">
        <v>35.55</v>
      </c>
      <c r="F119" s="9" t="n">
        <f aca="false">IFERROR((E119-D119)/E119,"")</f>
        <v>0.849507735583685</v>
      </c>
      <c r="G119" s="8" t="n">
        <v>19.44</v>
      </c>
      <c r="H119" s="8" t="n">
        <v>11.68</v>
      </c>
      <c r="I119" s="8" t="n">
        <v>9.96</v>
      </c>
      <c r="J119" s="8" t="n">
        <v>9.29</v>
      </c>
      <c r="K119" s="6" t="s">
        <v>402</v>
      </c>
      <c r="L119" s="6" t="s">
        <v>403</v>
      </c>
    </row>
    <row r="120" customFormat="false" ht="15" hidden="false" customHeight="false" outlineLevel="0" collapsed="false">
      <c r="A120" s="15" t="s">
        <v>150</v>
      </c>
      <c r="B120" s="16" t="s">
        <v>25</v>
      </c>
      <c r="C120" s="15" t="s">
        <v>151</v>
      </c>
      <c r="D120" s="17" t="n">
        <v>5.88</v>
      </c>
      <c r="E120" s="17" t="n">
        <v>37.65</v>
      </c>
      <c r="F120" s="18" t="n">
        <f aca="false">IFERROR((E120-D120)/E120,"")</f>
        <v>0.843824701195219</v>
      </c>
      <c r="G120" s="17" t="n">
        <v>20.82</v>
      </c>
      <c r="H120" s="17" t="n">
        <v>14.05</v>
      </c>
      <c r="I120" s="17" t="n">
        <v>11.29</v>
      </c>
      <c r="J120" s="17" t="n">
        <v>10.27</v>
      </c>
      <c r="K120" s="15" t="s">
        <v>402</v>
      </c>
      <c r="L120" s="15" t="s">
        <v>403</v>
      </c>
    </row>
    <row r="121" customFormat="false" ht="15" hidden="false" customHeight="false" outlineLevel="0" collapsed="false">
      <c r="A121" s="6" t="s">
        <v>152</v>
      </c>
      <c r="B121" s="7" t="s">
        <v>27</v>
      </c>
      <c r="C121" s="6" t="s">
        <v>153</v>
      </c>
      <c r="D121" s="8" t="n">
        <v>4.76</v>
      </c>
      <c r="E121" s="8" t="n">
        <v>31.1</v>
      </c>
      <c r="F121" s="9" t="n">
        <f aca="false">IFERROR((E121-D121)/E121,"")</f>
        <v>0.846945337620579</v>
      </c>
      <c r="G121" s="8" t="n">
        <v>14.69</v>
      </c>
      <c r="H121" s="8" t="n">
        <v>9.3</v>
      </c>
      <c r="I121" s="8" t="n">
        <v>7.49</v>
      </c>
      <c r="J121" s="8" t="n">
        <v>6.53</v>
      </c>
      <c r="K121" s="6" t="s">
        <v>402</v>
      </c>
      <c r="L121" s="6" t="s">
        <v>403</v>
      </c>
    </row>
    <row r="122" customFormat="false" ht="15" hidden="false" customHeight="false" outlineLevel="0" collapsed="false">
      <c r="A122" s="15" t="s">
        <v>152</v>
      </c>
      <c r="B122" s="16" t="s">
        <v>23</v>
      </c>
      <c r="C122" s="15" t="s">
        <v>153</v>
      </c>
      <c r="D122" s="17" t="n">
        <v>5.42</v>
      </c>
      <c r="E122" s="17" t="n">
        <v>33.33</v>
      </c>
      <c r="F122" s="18" t="n">
        <f aca="false">IFERROR((E122-D122)/E122,"")</f>
        <v>0.837383738373837</v>
      </c>
      <c r="G122" s="17" t="n">
        <v>17.22</v>
      </c>
      <c r="H122" s="17" t="n">
        <v>9.57</v>
      </c>
      <c r="I122" s="17" t="n">
        <v>9.47</v>
      </c>
      <c r="J122" s="17" t="n">
        <v>9.21</v>
      </c>
      <c r="K122" s="15" t="s">
        <v>402</v>
      </c>
      <c r="L122" s="15" t="s">
        <v>403</v>
      </c>
    </row>
    <row r="123" customFormat="false" ht="15" hidden="false" customHeight="false" outlineLevel="0" collapsed="false">
      <c r="A123" s="6" t="s">
        <v>152</v>
      </c>
      <c r="B123" s="7" t="s">
        <v>25</v>
      </c>
      <c r="C123" s="6" t="s">
        <v>153</v>
      </c>
      <c r="D123" s="8" t="n">
        <v>5.96</v>
      </c>
      <c r="E123" s="8" t="n">
        <v>30.18</v>
      </c>
      <c r="F123" s="9" t="n">
        <f aca="false">IFERROR((E123-D123)/E123,"")</f>
        <v>0.802518223989397</v>
      </c>
      <c r="G123" s="8" t="n">
        <v>17.76</v>
      </c>
      <c r="H123" s="8" t="n">
        <v>12.04</v>
      </c>
      <c r="I123" s="8" t="n">
        <v>9.36</v>
      </c>
      <c r="J123" s="8" t="n">
        <v>8.21</v>
      </c>
      <c r="K123" s="6" t="s">
        <v>402</v>
      </c>
      <c r="L123" s="6" t="s">
        <v>403</v>
      </c>
    </row>
    <row r="124" customFormat="false" ht="15" hidden="false" customHeight="false" outlineLevel="0" collapsed="false">
      <c r="A124" s="15" t="s">
        <v>154</v>
      </c>
      <c r="B124" s="16" t="s">
        <v>27</v>
      </c>
      <c r="C124" s="15" t="s">
        <v>155</v>
      </c>
      <c r="D124" s="17" t="n">
        <v>4.95</v>
      </c>
      <c r="E124" s="17" t="n">
        <v>40.5</v>
      </c>
      <c r="F124" s="18" t="n">
        <f aca="false">IFERROR((E124-D124)/E124,"")</f>
        <v>0.877777777777778</v>
      </c>
      <c r="G124" s="17" t="n">
        <v>26.08</v>
      </c>
      <c r="H124" s="17" t="n">
        <v>17.32</v>
      </c>
      <c r="I124" s="17" t="n">
        <v>15.74</v>
      </c>
      <c r="J124" s="17" t="n">
        <v>15.16</v>
      </c>
      <c r="K124" s="15" t="s">
        <v>402</v>
      </c>
      <c r="L124" s="15" t="s">
        <v>403</v>
      </c>
    </row>
    <row r="125" customFormat="false" ht="15" hidden="false" customHeight="false" outlineLevel="0" collapsed="false">
      <c r="A125" s="6" t="s">
        <v>156</v>
      </c>
      <c r="B125" s="7" t="s">
        <v>27</v>
      </c>
      <c r="C125" s="6" t="s">
        <v>157</v>
      </c>
      <c r="D125" s="8" t="n">
        <v>5.07</v>
      </c>
      <c r="E125" s="8" t="n">
        <v>37.78</v>
      </c>
      <c r="F125" s="9" t="n">
        <f aca="false">IFERROR((E125-D125)/E125,"")</f>
        <v>0.865802011646374</v>
      </c>
      <c r="G125" s="8" t="n">
        <v>17.63</v>
      </c>
      <c r="H125" s="8" t="n">
        <v>11.02</v>
      </c>
      <c r="I125" s="8" t="n">
        <v>8.09</v>
      </c>
      <c r="J125" s="8" t="n">
        <v>7.2</v>
      </c>
      <c r="K125" s="6" t="s">
        <v>402</v>
      </c>
      <c r="L125" s="6" t="s">
        <v>403</v>
      </c>
    </row>
    <row r="126" customFormat="false" ht="15" hidden="false" customHeight="false" outlineLevel="0" collapsed="false">
      <c r="A126" s="15" t="s">
        <v>156</v>
      </c>
      <c r="B126" s="16" t="s">
        <v>23</v>
      </c>
      <c r="C126" s="15" t="s">
        <v>157</v>
      </c>
      <c r="D126" s="17" t="n">
        <v>5.9</v>
      </c>
      <c r="E126" s="17" t="n">
        <v>39.99</v>
      </c>
      <c r="F126" s="18" t="n">
        <f aca="false">IFERROR((E126-D126)/E126,"")</f>
        <v>0.852463115778945</v>
      </c>
      <c r="G126" s="17" t="n">
        <v>20.55</v>
      </c>
      <c r="H126" s="17" t="n">
        <v>10.63</v>
      </c>
      <c r="I126" s="17" t="n">
        <v>9.96</v>
      </c>
      <c r="J126" s="17" t="n">
        <v>9.43</v>
      </c>
      <c r="K126" s="15" t="s">
        <v>402</v>
      </c>
      <c r="L126" s="15" t="s">
        <v>403</v>
      </c>
    </row>
    <row r="127" customFormat="false" ht="15" hidden="false" customHeight="false" outlineLevel="0" collapsed="false">
      <c r="A127" s="6" t="s">
        <v>156</v>
      </c>
      <c r="B127" s="7" t="s">
        <v>25</v>
      </c>
      <c r="C127" s="6" t="s">
        <v>157</v>
      </c>
      <c r="D127" s="8" t="n">
        <v>6.49</v>
      </c>
      <c r="E127" s="8" t="n">
        <v>39.56</v>
      </c>
      <c r="F127" s="9" t="n">
        <f aca="false">IFERROR((E127-D127)/E127,"")</f>
        <v>0.835945399393327</v>
      </c>
      <c r="G127" s="8" t="n">
        <v>18.77</v>
      </c>
      <c r="H127" s="8" t="n">
        <v>14.16</v>
      </c>
      <c r="I127" s="8" t="n">
        <v>9.63</v>
      </c>
      <c r="J127" s="8" t="n">
        <v>8.57</v>
      </c>
      <c r="K127" s="6" t="s">
        <v>404</v>
      </c>
      <c r="L127" s="6" t="s">
        <v>403</v>
      </c>
    </row>
    <row r="128" customFormat="false" ht="15" hidden="false" customHeight="false" outlineLevel="0" collapsed="false">
      <c r="A128" s="15" t="s">
        <v>158</v>
      </c>
      <c r="B128" s="16" t="s">
        <v>27</v>
      </c>
      <c r="C128" s="15" t="s">
        <v>159</v>
      </c>
      <c r="D128" s="17" t="n">
        <v>5.54</v>
      </c>
      <c r="E128" s="17" t="n">
        <v>41.77</v>
      </c>
      <c r="F128" s="18" t="n">
        <f aca="false">IFERROR((E128-D128)/E128,"")</f>
        <v>0.867368925065837</v>
      </c>
      <c r="G128" s="17" t="n">
        <v>26.1</v>
      </c>
      <c r="H128" s="17" t="n">
        <v>18.89</v>
      </c>
      <c r="I128" s="17" t="n">
        <v>14.16</v>
      </c>
      <c r="J128" s="17" t="n">
        <v>14.61</v>
      </c>
      <c r="K128" s="15" t="s">
        <v>402</v>
      </c>
      <c r="L128" s="15" t="s">
        <v>403</v>
      </c>
    </row>
    <row r="129" customFormat="false" ht="15" hidden="false" customHeight="false" outlineLevel="0" collapsed="false">
      <c r="A129" s="6" t="s">
        <v>160</v>
      </c>
      <c r="B129" s="7" t="s">
        <v>27</v>
      </c>
      <c r="C129" s="6" t="s">
        <v>161</v>
      </c>
      <c r="D129" s="8" t="n">
        <v>5.88</v>
      </c>
      <c r="E129" s="8" t="n">
        <v>43.57</v>
      </c>
      <c r="F129" s="9" t="n">
        <f aca="false">IFERROR((E129-D129)/E129,"")</f>
        <v>0.865044755565756</v>
      </c>
      <c r="G129" s="8" t="n">
        <v>31.46</v>
      </c>
      <c r="H129" s="8" t="n">
        <v>17.72</v>
      </c>
      <c r="I129" s="8" t="n">
        <v>16.88</v>
      </c>
      <c r="J129" s="8" t="n">
        <v>12.74</v>
      </c>
      <c r="K129" s="6" t="s">
        <v>402</v>
      </c>
      <c r="L129" s="6" t="s">
        <v>403</v>
      </c>
    </row>
    <row r="130" customFormat="false" ht="15" hidden="false" customHeight="false" outlineLevel="0" collapsed="false">
      <c r="A130" s="15" t="s">
        <v>160</v>
      </c>
      <c r="B130" s="16" t="s">
        <v>23</v>
      </c>
      <c r="C130" s="15" t="s">
        <v>161</v>
      </c>
      <c r="D130" s="17" t="n">
        <v>7.07</v>
      </c>
      <c r="E130" s="17" t="n">
        <v>48.29</v>
      </c>
      <c r="F130" s="18" t="n">
        <f aca="false">IFERROR((E130-D130)/E130,"")</f>
        <v>0.85359287637192</v>
      </c>
      <c r="G130" s="17" t="n">
        <v>34.67</v>
      </c>
      <c r="H130" s="17" t="n">
        <v>21.63</v>
      </c>
      <c r="I130" s="17" t="n">
        <v>19.07</v>
      </c>
      <c r="J130" s="17" t="n">
        <v>14.4</v>
      </c>
      <c r="K130" s="15" t="s">
        <v>404</v>
      </c>
      <c r="L130" s="15" t="s">
        <v>403</v>
      </c>
    </row>
    <row r="131" customFormat="false" ht="15" hidden="false" customHeight="false" outlineLevel="0" collapsed="false">
      <c r="A131" s="6" t="s">
        <v>160</v>
      </c>
      <c r="B131" s="7" t="s">
        <v>25</v>
      </c>
      <c r="C131" s="6" t="s">
        <v>161</v>
      </c>
      <c r="D131" s="8" t="n">
        <v>7.78</v>
      </c>
      <c r="E131" s="8" t="n">
        <v>51.85</v>
      </c>
      <c r="F131" s="9" t="n">
        <f aca="false">IFERROR((E131-D131)/E131,"")</f>
        <v>0.849951783992285</v>
      </c>
      <c r="G131" s="8" t="n">
        <v>37.43</v>
      </c>
      <c r="H131" s="8" t="n">
        <v>17.53</v>
      </c>
      <c r="I131" s="8" t="n">
        <v>15.07</v>
      </c>
      <c r="J131" s="8" t="n">
        <v>15.08</v>
      </c>
      <c r="K131" s="6" t="s">
        <v>402</v>
      </c>
      <c r="L131" s="6" t="s">
        <v>403</v>
      </c>
    </row>
    <row r="132" customFormat="false" ht="15" hidden="false" customHeight="false" outlineLevel="0" collapsed="false">
      <c r="A132" s="15" t="s">
        <v>162</v>
      </c>
      <c r="B132" s="16" t="s">
        <v>27</v>
      </c>
      <c r="C132" s="15" t="s">
        <v>163</v>
      </c>
      <c r="D132" s="17" t="n">
        <v>5.17</v>
      </c>
      <c r="E132" s="17" t="n">
        <v>34.44</v>
      </c>
      <c r="F132" s="18" t="n">
        <f aca="false">IFERROR((E132-D132)/E132,"")</f>
        <v>0.849883855981417</v>
      </c>
      <c r="G132" s="17" t="n">
        <v>19.59</v>
      </c>
      <c r="H132" s="17" t="n">
        <v>13.71</v>
      </c>
      <c r="I132" s="17" t="n">
        <v>11.07</v>
      </c>
      <c r="J132" s="17" t="n">
        <v>10.5</v>
      </c>
      <c r="K132" s="15" t="s">
        <v>402</v>
      </c>
      <c r="L132" s="15" t="s">
        <v>403</v>
      </c>
    </row>
    <row r="133" customFormat="false" ht="15" hidden="false" customHeight="false" outlineLevel="0" collapsed="false">
      <c r="A133" s="6" t="s">
        <v>164</v>
      </c>
      <c r="B133" s="7" t="s">
        <v>27</v>
      </c>
      <c r="C133" s="6" t="s">
        <v>165</v>
      </c>
      <c r="D133" s="8" t="n">
        <v>4.8</v>
      </c>
      <c r="E133" s="8" t="n">
        <v>32.22</v>
      </c>
      <c r="F133" s="9" t="n">
        <f aca="false">IFERROR((E133-D133)/E133,"")</f>
        <v>0.851024208566108</v>
      </c>
      <c r="G133" s="8" t="n">
        <v>19.59</v>
      </c>
      <c r="H133" s="8" t="n">
        <v>12.24</v>
      </c>
      <c r="I133" s="8" t="n">
        <v>8.49</v>
      </c>
      <c r="J133" s="8" t="n">
        <v>9.5</v>
      </c>
      <c r="K133" s="6" t="s">
        <v>402</v>
      </c>
      <c r="L133" s="6" t="s">
        <v>166</v>
      </c>
    </row>
    <row r="134" customFormat="false" ht="15" hidden="false" customHeight="false" outlineLevel="0" collapsed="false">
      <c r="A134" s="15" t="s">
        <v>164</v>
      </c>
      <c r="B134" s="16" t="s">
        <v>23</v>
      </c>
      <c r="C134" s="15" t="s">
        <v>166</v>
      </c>
      <c r="D134" s="17" t="n">
        <v>5.22</v>
      </c>
      <c r="E134" s="17" t="n">
        <v>36.67</v>
      </c>
      <c r="F134" s="18" t="n">
        <f aca="false">IFERROR((E134-D134)/E134,"")</f>
        <v>0.857649304608672</v>
      </c>
      <c r="G134" s="17" t="n">
        <v>22.22</v>
      </c>
      <c r="H134" s="17" t="n">
        <v>13.33</v>
      </c>
      <c r="I134" s="17" t="n">
        <v>9.79</v>
      </c>
      <c r="J134" s="17" t="n">
        <v>9.79</v>
      </c>
      <c r="K134" s="15" t="s">
        <v>402</v>
      </c>
      <c r="L134" s="15" t="s">
        <v>403</v>
      </c>
    </row>
    <row r="135" customFormat="false" ht="15" hidden="false" customHeight="false" outlineLevel="0" collapsed="false">
      <c r="A135" s="6" t="s">
        <v>164</v>
      </c>
      <c r="B135" s="7" t="s">
        <v>25</v>
      </c>
      <c r="C135" s="6" t="s">
        <v>166</v>
      </c>
      <c r="D135" s="8" t="n">
        <v>5.74</v>
      </c>
      <c r="E135" s="8" t="n">
        <v>38.82</v>
      </c>
      <c r="F135" s="9" t="n">
        <f aca="false">IFERROR((E135-D135)/E135,"")</f>
        <v>0.852138073158166</v>
      </c>
      <c r="G135" s="8" t="n">
        <v>23.78</v>
      </c>
      <c r="H135" s="8" t="n">
        <v>17.07</v>
      </c>
      <c r="I135" s="8" t="n">
        <v>14.18</v>
      </c>
      <c r="J135" s="8" t="n">
        <v>9.96</v>
      </c>
      <c r="K135" s="6" t="s">
        <v>402</v>
      </c>
      <c r="L135" s="6" t="s">
        <v>403</v>
      </c>
    </row>
    <row r="136" customFormat="false" ht="15" hidden="false" customHeight="false" outlineLevel="0" collapsed="false">
      <c r="A136" s="15" t="s">
        <v>167</v>
      </c>
      <c r="B136" s="16" t="s">
        <v>27</v>
      </c>
      <c r="C136" s="15" t="s">
        <v>168</v>
      </c>
      <c r="D136" s="17" t="n">
        <v>4.97</v>
      </c>
      <c r="E136" s="17" t="n">
        <v>33.33</v>
      </c>
      <c r="F136" s="18" t="n">
        <f aca="false">IFERROR((E136-D136)/E136,"")</f>
        <v>0.850885088508851</v>
      </c>
      <c r="G136" s="17" t="n">
        <v>18.12</v>
      </c>
      <c r="H136" s="17" t="n">
        <v>14.16</v>
      </c>
      <c r="I136" s="17" t="n">
        <v>10.38</v>
      </c>
      <c r="J136" s="17" t="n">
        <v>10.31</v>
      </c>
      <c r="K136" s="15" t="s">
        <v>402</v>
      </c>
      <c r="L136" s="15" t="s">
        <v>403</v>
      </c>
    </row>
    <row r="137" customFormat="false" ht="15" hidden="false" customHeight="false" outlineLevel="0" collapsed="false">
      <c r="A137" s="6" t="s">
        <v>167</v>
      </c>
      <c r="B137" s="7" t="s">
        <v>23</v>
      </c>
      <c r="C137" s="6" t="s">
        <v>168</v>
      </c>
      <c r="D137" s="8" t="n">
        <v>5.4</v>
      </c>
      <c r="E137" s="8" t="n">
        <v>34.15</v>
      </c>
      <c r="F137" s="9" t="n">
        <f aca="false">IFERROR((E137-D137)/E137,"")</f>
        <v>0.841874084919473</v>
      </c>
      <c r="G137" s="8" t="n">
        <v>21.33</v>
      </c>
      <c r="H137" s="8" t="n">
        <v>18.59</v>
      </c>
      <c r="I137" s="8" t="n">
        <v>16.53</v>
      </c>
      <c r="J137" s="8" t="n">
        <v>15.6</v>
      </c>
      <c r="K137" s="6" t="s">
        <v>402</v>
      </c>
      <c r="L137" s="6" t="s">
        <v>403</v>
      </c>
    </row>
    <row r="138" customFormat="false" ht="15" hidden="false" customHeight="false" outlineLevel="0" collapsed="false">
      <c r="A138" s="15" t="s">
        <v>167</v>
      </c>
      <c r="B138" s="16" t="s">
        <v>25</v>
      </c>
      <c r="C138" s="15" t="s">
        <v>168</v>
      </c>
      <c r="D138" s="17" t="n">
        <v>5.94</v>
      </c>
      <c r="E138" s="17" t="n">
        <v>41.56</v>
      </c>
      <c r="F138" s="18" t="n">
        <f aca="false">IFERROR((E138-D138)/E138,"")</f>
        <v>0.857074109720886</v>
      </c>
      <c r="G138" s="17" t="n">
        <v>25.97</v>
      </c>
      <c r="H138" s="17" t="n">
        <v>20.07</v>
      </c>
      <c r="I138" s="17" t="n">
        <v>19.55</v>
      </c>
      <c r="J138" s="17" t="n">
        <v>11.16</v>
      </c>
      <c r="K138" s="15" t="s">
        <v>402</v>
      </c>
      <c r="L138" s="15" t="s">
        <v>403</v>
      </c>
    </row>
    <row r="139" customFormat="false" ht="15" hidden="false" customHeight="false" outlineLevel="0" collapsed="false">
      <c r="A139" s="6" t="s">
        <v>169</v>
      </c>
      <c r="B139" s="7" t="s">
        <v>27</v>
      </c>
      <c r="C139" s="6" t="s">
        <v>170</v>
      </c>
      <c r="D139" s="8" t="n">
        <v>4.86</v>
      </c>
      <c r="E139" s="8" t="n">
        <v>31.62</v>
      </c>
      <c r="F139" s="9" t="n">
        <f aca="false">IFERROR((E139-D139)/E139,"")</f>
        <v>0.846299810246679</v>
      </c>
      <c r="G139" s="8" t="n">
        <v>20.01</v>
      </c>
      <c r="H139" s="8" t="n">
        <v>11.68</v>
      </c>
      <c r="I139" s="8" t="n">
        <v>11.32</v>
      </c>
      <c r="J139" s="8" t="n">
        <v>10.91</v>
      </c>
      <c r="K139" s="6" t="s">
        <v>402</v>
      </c>
      <c r="L139" s="6" t="s">
        <v>403</v>
      </c>
    </row>
    <row r="140" customFormat="false" ht="15" hidden="false" customHeight="false" outlineLevel="0" collapsed="false">
      <c r="A140" s="15" t="s">
        <v>171</v>
      </c>
      <c r="B140" s="16" t="s">
        <v>27</v>
      </c>
      <c r="C140" s="15" t="s">
        <v>172</v>
      </c>
      <c r="D140" s="17" t="n">
        <v>4.8</v>
      </c>
      <c r="E140" s="17" t="n">
        <v>41.77</v>
      </c>
      <c r="F140" s="18" t="n">
        <f aca="false">IFERROR((E140-D140)/E140,"")</f>
        <v>0.885084989226718</v>
      </c>
      <c r="G140" s="17" t="n">
        <v>18.88</v>
      </c>
      <c r="H140" s="17" t="n">
        <v>12.14</v>
      </c>
      <c r="I140" s="17" t="n">
        <v>10.46</v>
      </c>
      <c r="J140" s="17" t="n">
        <v>10.26</v>
      </c>
      <c r="K140" s="15" t="s">
        <v>402</v>
      </c>
      <c r="L140" s="15" t="s">
        <v>407</v>
      </c>
    </row>
    <row r="141" customFormat="false" ht="15" hidden="false" customHeight="false" outlineLevel="0" collapsed="false">
      <c r="A141" s="6" t="s">
        <v>173</v>
      </c>
      <c r="B141" s="7" t="s">
        <v>27</v>
      </c>
      <c r="C141" s="6" t="s">
        <v>174</v>
      </c>
      <c r="D141" s="8" t="n">
        <v>4.99</v>
      </c>
      <c r="E141" s="8" t="n">
        <v>38.78</v>
      </c>
      <c r="F141" s="9" t="n">
        <f aca="false">IFERROR((E141-D141)/E141,"")</f>
        <v>0.87132542547705</v>
      </c>
      <c r="G141" s="8" t="n">
        <v>23.5</v>
      </c>
      <c r="H141" s="8" t="n">
        <v>15.61</v>
      </c>
      <c r="I141" s="8" t="n">
        <v>14.61</v>
      </c>
      <c r="J141" s="8" t="n">
        <v>11.37</v>
      </c>
      <c r="K141" s="6" t="s">
        <v>404</v>
      </c>
      <c r="L141" s="6" t="s">
        <v>408</v>
      </c>
    </row>
    <row r="142" customFormat="false" ht="15" hidden="false" customHeight="false" outlineLevel="0" collapsed="false">
      <c r="A142" s="15" t="s">
        <v>173</v>
      </c>
      <c r="B142" s="16" t="s">
        <v>23</v>
      </c>
      <c r="C142" s="15" t="s">
        <v>174</v>
      </c>
      <c r="D142" s="17" t="n">
        <v>5.44</v>
      </c>
      <c r="E142" s="17" t="n">
        <v>42.99</v>
      </c>
      <c r="F142" s="18" t="n">
        <f aca="false">IFERROR((E142-D142)/E142,"")</f>
        <v>0.873458943940451</v>
      </c>
      <c r="G142" s="17" t="n">
        <v>25.9</v>
      </c>
      <c r="H142" s="17" t="n">
        <v>19.06</v>
      </c>
      <c r="I142" s="17" t="n">
        <v>16.51</v>
      </c>
      <c r="J142" s="17" t="n">
        <v>12.85</v>
      </c>
      <c r="K142" s="15" t="s">
        <v>404</v>
      </c>
      <c r="L142" s="15" t="s">
        <v>408</v>
      </c>
    </row>
    <row r="143" customFormat="false" ht="15" hidden="false" customHeight="false" outlineLevel="0" collapsed="false">
      <c r="A143" s="6" t="s">
        <v>173</v>
      </c>
      <c r="B143" s="7" t="s">
        <v>25</v>
      </c>
      <c r="C143" s="6" t="s">
        <v>174</v>
      </c>
      <c r="D143" s="8" t="n">
        <v>5.98</v>
      </c>
      <c r="E143" s="8" t="n">
        <v>40.61</v>
      </c>
      <c r="F143" s="9" t="n">
        <f aca="false">IFERROR((E143-D143)/E143,"")</f>
        <v>0.85274562915538</v>
      </c>
      <c r="G143" s="8" t="n">
        <v>25.02</v>
      </c>
      <c r="H143" s="8" t="n">
        <v>20.07</v>
      </c>
      <c r="I143" s="8" t="n">
        <v>17.39</v>
      </c>
      <c r="J143" s="8" t="n">
        <v>13.53</v>
      </c>
      <c r="K143" s="6" t="s">
        <v>402</v>
      </c>
      <c r="L143" s="6" t="s">
        <v>408</v>
      </c>
    </row>
    <row r="144" customFormat="false" ht="15" hidden="false" customHeight="false" outlineLevel="0" collapsed="false">
      <c r="A144" s="15" t="s">
        <v>175</v>
      </c>
      <c r="B144" s="16" t="s">
        <v>27</v>
      </c>
      <c r="C144" s="15" t="s">
        <v>176</v>
      </c>
      <c r="D144" s="17" t="n">
        <v>5.31</v>
      </c>
      <c r="E144" s="17" t="n">
        <v>35.96</v>
      </c>
      <c r="F144" s="18" t="n">
        <f aca="false">IFERROR((E144-D144)/E144,"")</f>
        <v>0.852335928809789</v>
      </c>
      <c r="G144" s="17" t="n">
        <v>20.11</v>
      </c>
      <c r="H144" s="17" t="n">
        <v>15.3</v>
      </c>
      <c r="I144" s="17" t="n">
        <v>11.76</v>
      </c>
      <c r="J144" s="17" t="n">
        <v>10.73</v>
      </c>
      <c r="K144" s="15" t="s">
        <v>404</v>
      </c>
      <c r="L144" s="15" t="s">
        <v>403</v>
      </c>
    </row>
    <row r="145" customFormat="false" ht="15" hidden="false" customHeight="false" outlineLevel="0" collapsed="false">
      <c r="A145" s="6" t="s">
        <v>177</v>
      </c>
      <c r="B145" s="7" t="s">
        <v>27</v>
      </c>
      <c r="C145" s="6" t="s">
        <v>178</v>
      </c>
      <c r="D145" s="8" t="n">
        <v>5.31</v>
      </c>
      <c r="E145" s="8" t="n">
        <v>29.27</v>
      </c>
      <c r="F145" s="9" t="n">
        <f aca="false">IFERROR((E145-D145)/E145,"")</f>
        <v>0.818585582507687</v>
      </c>
      <c r="G145" s="8" t="n">
        <v>16.68</v>
      </c>
      <c r="H145" s="8" t="n">
        <v>10.28</v>
      </c>
      <c r="I145" s="8" t="n">
        <v>7.49</v>
      </c>
      <c r="J145" s="8" t="n">
        <v>6.66</v>
      </c>
      <c r="K145" s="6" t="s">
        <v>402</v>
      </c>
      <c r="L145" s="6" t="s">
        <v>403</v>
      </c>
    </row>
    <row r="146" customFormat="false" ht="15" hidden="false" customHeight="false" outlineLevel="0" collapsed="false">
      <c r="A146" s="15" t="s">
        <v>177</v>
      </c>
      <c r="B146" s="16" t="s">
        <v>23</v>
      </c>
      <c r="C146" s="15" t="s">
        <v>178</v>
      </c>
      <c r="D146" s="17" t="n">
        <v>6.16</v>
      </c>
      <c r="E146" s="17" t="n">
        <v>33.69</v>
      </c>
      <c r="F146" s="18" t="n">
        <f aca="false">IFERROR((E146-D146)/E146,"")</f>
        <v>0.81715642623924</v>
      </c>
      <c r="G146" s="17" t="n">
        <v>23.54</v>
      </c>
      <c r="H146" s="17" t="n">
        <v>10.63</v>
      </c>
      <c r="I146" s="17" t="n">
        <v>11.01</v>
      </c>
      <c r="J146" s="17" t="n">
        <v>9.22</v>
      </c>
      <c r="K146" s="15" t="s">
        <v>402</v>
      </c>
      <c r="L146" s="15" t="s">
        <v>403</v>
      </c>
    </row>
    <row r="147" customFormat="false" ht="15" hidden="false" customHeight="false" outlineLevel="0" collapsed="false">
      <c r="A147" s="6" t="s">
        <v>177</v>
      </c>
      <c r="B147" s="7" t="s">
        <v>25</v>
      </c>
      <c r="C147" s="6" t="s">
        <v>178</v>
      </c>
      <c r="D147" s="8" t="n">
        <v>6.77</v>
      </c>
      <c r="E147" s="8" t="n">
        <v>33.43</v>
      </c>
      <c r="F147" s="9" t="n">
        <f aca="false">IFERROR((E147-D147)/E147,"")</f>
        <v>0.797487286868083</v>
      </c>
      <c r="G147" s="8" t="n">
        <v>21.57</v>
      </c>
      <c r="H147" s="8" t="n">
        <v>14.57</v>
      </c>
      <c r="I147" s="8" t="n">
        <v>10.71</v>
      </c>
      <c r="J147" s="8" t="n">
        <v>10.75</v>
      </c>
      <c r="K147" s="6" t="s">
        <v>402</v>
      </c>
      <c r="L147" s="6" t="s">
        <v>403</v>
      </c>
    </row>
    <row r="148" customFormat="false" ht="15" hidden="false" customHeight="false" outlineLevel="0" collapsed="false">
      <c r="A148" s="15" t="s">
        <v>179</v>
      </c>
      <c r="B148" s="16" t="s">
        <v>27</v>
      </c>
      <c r="C148" s="15" t="s">
        <v>180</v>
      </c>
      <c r="D148" s="17" t="n">
        <v>5.49</v>
      </c>
      <c r="E148" s="17" t="n">
        <v>35.55</v>
      </c>
      <c r="F148" s="18" t="n">
        <f aca="false">IFERROR((E148-D148)/E148,"")</f>
        <v>0.845569620253165</v>
      </c>
      <c r="G148" s="17" t="n">
        <v>19.59</v>
      </c>
      <c r="H148" s="17" t="n">
        <v>11.8</v>
      </c>
      <c r="I148" s="17" t="n">
        <v>9.66</v>
      </c>
      <c r="J148" s="17" t="n">
        <v>9.5</v>
      </c>
      <c r="K148" s="15" t="s">
        <v>402</v>
      </c>
      <c r="L148" s="15" t="s">
        <v>403</v>
      </c>
    </row>
    <row r="149" customFormat="false" ht="15" hidden="false" customHeight="false" outlineLevel="0" collapsed="false">
      <c r="A149" s="6" t="s">
        <v>179</v>
      </c>
      <c r="B149" s="7" t="s">
        <v>23</v>
      </c>
      <c r="C149" s="6" t="s">
        <v>180</v>
      </c>
      <c r="D149" s="8" t="n">
        <v>6.61</v>
      </c>
      <c r="E149" s="8" t="n">
        <v>35.51</v>
      </c>
      <c r="F149" s="9" t="n">
        <f aca="false">IFERROR((E149-D149)/E149,"")</f>
        <v>0.813855252041678</v>
      </c>
      <c r="G149" s="8" t="n">
        <v>21.92</v>
      </c>
      <c r="H149" s="8" t="n">
        <v>15.35</v>
      </c>
      <c r="I149" s="8" t="n">
        <v>11.43</v>
      </c>
      <c r="J149" s="8" t="n">
        <v>11.43</v>
      </c>
      <c r="K149" s="6" t="s">
        <v>402</v>
      </c>
      <c r="L149" s="6" t="s">
        <v>403</v>
      </c>
    </row>
    <row r="150" customFormat="false" ht="15" hidden="false" customHeight="false" outlineLevel="0" collapsed="false">
      <c r="A150" s="15" t="s">
        <v>179</v>
      </c>
      <c r="B150" s="16" t="s">
        <v>25</v>
      </c>
      <c r="C150" s="15" t="s">
        <v>180</v>
      </c>
      <c r="D150" s="17" t="n">
        <v>7.27</v>
      </c>
      <c r="E150" s="17" t="n">
        <v>37.61</v>
      </c>
      <c r="F150" s="18" t="n">
        <f aca="false">IFERROR((E150-D150)/E150,"")</f>
        <v>0.806700345652752</v>
      </c>
      <c r="G150" s="17" t="n">
        <v>23.49</v>
      </c>
      <c r="H150" s="17" t="n">
        <v>17.7</v>
      </c>
      <c r="I150" s="17" t="n">
        <v>14.05</v>
      </c>
      <c r="J150" s="17" t="n">
        <v>13.98</v>
      </c>
      <c r="K150" s="15" t="s">
        <v>402</v>
      </c>
      <c r="L150" s="15" t="s">
        <v>403</v>
      </c>
    </row>
    <row r="151" customFormat="false" ht="15" hidden="false" customHeight="false" outlineLevel="0" collapsed="false">
      <c r="A151" s="6" t="s">
        <v>181</v>
      </c>
      <c r="B151" s="7" t="s">
        <v>27</v>
      </c>
      <c r="C151" s="6" t="s">
        <v>182</v>
      </c>
      <c r="D151" s="8" t="n">
        <v>6.08</v>
      </c>
      <c r="E151" s="8" t="n">
        <v>44.92</v>
      </c>
      <c r="F151" s="9" t="n">
        <f aca="false">IFERROR((E151-D151)/E151,"")</f>
        <v>0.864648263579697</v>
      </c>
      <c r="G151" s="8" t="n">
        <v>23.21</v>
      </c>
      <c r="H151" s="8" t="n">
        <v>14.68</v>
      </c>
      <c r="I151" s="8" t="n">
        <v>12.48</v>
      </c>
      <c r="J151" s="8" t="n">
        <v>12.48</v>
      </c>
      <c r="K151" s="6" t="s">
        <v>402</v>
      </c>
      <c r="L151" s="6" t="s">
        <v>409</v>
      </c>
    </row>
    <row r="152" customFormat="false" ht="15" hidden="false" customHeight="false" outlineLevel="0" collapsed="false">
      <c r="A152" s="15" t="s">
        <v>181</v>
      </c>
      <c r="B152" s="16" t="s">
        <v>23</v>
      </c>
      <c r="C152" s="15" t="s">
        <v>182</v>
      </c>
      <c r="D152" s="17" t="n">
        <v>7.49</v>
      </c>
      <c r="E152" s="17" t="n">
        <v>49.79</v>
      </c>
      <c r="F152" s="18" t="n">
        <f aca="false">IFERROR((E152-D152)/E152,"")</f>
        <v>0.849568186382808</v>
      </c>
      <c r="G152" s="17" t="n">
        <v>25.58</v>
      </c>
      <c r="H152" s="17" t="n">
        <v>17.92</v>
      </c>
      <c r="I152" s="17" t="n">
        <v>14.1</v>
      </c>
      <c r="J152" s="17" t="n">
        <v>14.1</v>
      </c>
      <c r="K152" s="15" t="s">
        <v>404</v>
      </c>
      <c r="L152" s="15" t="s">
        <v>403</v>
      </c>
    </row>
    <row r="153" customFormat="false" ht="15" hidden="false" customHeight="false" outlineLevel="0" collapsed="false">
      <c r="A153" s="6" t="s">
        <v>181</v>
      </c>
      <c r="B153" s="7" t="s">
        <v>25</v>
      </c>
      <c r="C153" s="6" t="s">
        <v>182</v>
      </c>
      <c r="D153" s="8" t="n">
        <v>8.24</v>
      </c>
      <c r="E153" s="8" t="n">
        <v>50.06</v>
      </c>
      <c r="F153" s="9" t="n">
        <f aca="false">IFERROR((E153-D153)/E153,"")</f>
        <v>0.835397522972433</v>
      </c>
      <c r="G153" s="8" t="n">
        <v>30.22</v>
      </c>
      <c r="H153" s="8" t="n">
        <v>22.07</v>
      </c>
      <c r="I153" s="8" t="n">
        <v>15.03</v>
      </c>
      <c r="J153" s="8" t="n">
        <v>15.1</v>
      </c>
      <c r="K153" s="6" t="s">
        <v>402</v>
      </c>
      <c r="L153" s="6" t="s">
        <v>403</v>
      </c>
    </row>
    <row r="154" customFormat="false" ht="15" hidden="false" customHeight="false" outlineLevel="0" collapsed="false">
      <c r="A154" s="15" t="s">
        <v>183</v>
      </c>
      <c r="B154" s="16" t="s">
        <v>27</v>
      </c>
      <c r="C154" s="15" t="s">
        <v>184</v>
      </c>
      <c r="D154" s="17" t="n">
        <v>5.19</v>
      </c>
      <c r="E154" s="17" t="n">
        <v>36.67</v>
      </c>
      <c r="F154" s="18" t="n">
        <f aca="false">IFERROR((E154-D154)/E154,"")</f>
        <v>0.85846741205345</v>
      </c>
      <c r="G154" s="17" t="n">
        <v>19.59</v>
      </c>
      <c r="H154" s="17" t="n">
        <v>11.75</v>
      </c>
      <c r="I154" s="17" t="n">
        <v>7.49</v>
      </c>
      <c r="J154" s="17" t="n">
        <v>7.65</v>
      </c>
      <c r="K154" s="15" t="s">
        <v>402</v>
      </c>
      <c r="L154" s="15" t="s">
        <v>403</v>
      </c>
    </row>
    <row r="155" customFormat="false" ht="15" hidden="false" customHeight="false" outlineLevel="0" collapsed="false">
      <c r="A155" s="6" t="s">
        <v>185</v>
      </c>
      <c r="B155" s="7" t="s">
        <v>27</v>
      </c>
      <c r="C155" s="6" t="s">
        <v>186</v>
      </c>
      <c r="D155" s="8" t="n">
        <v>5.6</v>
      </c>
      <c r="E155" s="8" t="n">
        <v>38.11</v>
      </c>
      <c r="F155" s="9" t="n">
        <f aca="false">IFERROR((E155-D155)/E155,"")</f>
        <v>0.853056940435581</v>
      </c>
      <c r="G155" s="8" t="n">
        <v>25.76</v>
      </c>
      <c r="H155" s="8" t="n">
        <v>16.07</v>
      </c>
      <c r="I155" s="8" t="n">
        <v>14.46</v>
      </c>
      <c r="J155" s="8" t="n">
        <v>13.92</v>
      </c>
      <c r="K155" s="6" t="s">
        <v>402</v>
      </c>
      <c r="L155" s="6" t="s">
        <v>403</v>
      </c>
    </row>
    <row r="156" customFormat="false" ht="15" hidden="false" customHeight="false" outlineLevel="0" collapsed="false">
      <c r="A156" s="15" t="s">
        <v>185</v>
      </c>
      <c r="B156" s="16" t="s">
        <v>23</v>
      </c>
      <c r="C156" s="15" t="s">
        <v>186</v>
      </c>
      <c r="D156" s="17" t="n">
        <v>6.75</v>
      </c>
      <c r="E156" s="17" t="n">
        <v>42.24</v>
      </c>
      <c r="F156" s="18" t="n">
        <f aca="false">IFERROR((E156-D156)/E156,"")</f>
        <v>0.840198863636364</v>
      </c>
      <c r="G156" s="17" t="n">
        <v>28.39</v>
      </c>
      <c r="H156" s="17" t="n">
        <v>19.61</v>
      </c>
      <c r="I156" s="17" t="n">
        <v>16.34</v>
      </c>
      <c r="J156" s="17" t="n">
        <v>15.73</v>
      </c>
      <c r="K156" s="15" t="s">
        <v>404</v>
      </c>
      <c r="L156" s="15" t="s">
        <v>403</v>
      </c>
    </row>
    <row r="157" customFormat="false" ht="15" hidden="false" customHeight="false" outlineLevel="0" collapsed="false">
      <c r="A157" s="6" t="s">
        <v>185</v>
      </c>
      <c r="B157" s="7" t="s">
        <v>25</v>
      </c>
      <c r="C157" s="6" t="s">
        <v>186</v>
      </c>
      <c r="D157" s="8" t="n">
        <v>7.43</v>
      </c>
      <c r="E157" s="8" t="n">
        <v>39.9</v>
      </c>
      <c r="F157" s="9" t="n">
        <f aca="false">IFERROR((E157-D157)/E157,"")</f>
        <v>0.813784461152882</v>
      </c>
      <c r="G157" s="8" t="n">
        <v>27.43</v>
      </c>
      <c r="H157" s="8" t="n">
        <v>20.66</v>
      </c>
      <c r="I157" s="8" t="n">
        <v>17.21</v>
      </c>
      <c r="J157" s="8" t="n">
        <v>16.56</v>
      </c>
      <c r="K157" s="6" t="s">
        <v>404</v>
      </c>
      <c r="L157" s="6" t="s">
        <v>403</v>
      </c>
    </row>
    <row r="158" customFormat="false" ht="15" hidden="false" customHeight="false" outlineLevel="0" collapsed="false">
      <c r="A158" s="15" t="s">
        <v>187</v>
      </c>
      <c r="B158" s="16" t="s">
        <v>27</v>
      </c>
      <c r="C158" s="15" t="s">
        <v>188</v>
      </c>
      <c r="D158" s="17" t="n">
        <v>5.8</v>
      </c>
      <c r="E158" s="17" t="n">
        <v>54.44</v>
      </c>
      <c r="F158" s="18" t="n">
        <f aca="false">IFERROR((E158-D158)/E158,"")</f>
        <v>0.893460690668626</v>
      </c>
      <c r="G158" s="17" t="n">
        <v>24.56</v>
      </c>
      <c r="H158" s="17" t="n">
        <v>13.91</v>
      </c>
      <c r="I158" s="17" t="n">
        <v>11.96</v>
      </c>
      <c r="J158" s="17" t="n">
        <v>12.33</v>
      </c>
      <c r="K158" s="15" t="s">
        <v>402</v>
      </c>
      <c r="L158" s="15" t="s">
        <v>410</v>
      </c>
    </row>
    <row r="159" customFormat="false" ht="15" hidden="false" customHeight="false" outlineLevel="0" collapsed="false">
      <c r="A159" s="6" t="s">
        <v>187</v>
      </c>
      <c r="B159" s="7" t="s">
        <v>23</v>
      </c>
      <c r="C159" s="6" t="s">
        <v>188</v>
      </c>
      <c r="D159" s="8" t="n">
        <v>7.11</v>
      </c>
      <c r="E159" s="8" t="n">
        <v>60.34</v>
      </c>
      <c r="F159" s="9" t="n">
        <f aca="false">IFERROR((E159-D159)/E159,"")</f>
        <v>0.882167716274445</v>
      </c>
      <c r="G159" s="8" t="n">
        <v>27.07</v>
      </c>
      <c r="H159" s="8" t="n">
        <v>16.98</v>
      </c>
      <c r="I159" s="8" t="n">
        <v>13.51</v>
      </c>
      <c r="J159" s="8" t="n">
        <v>13.93</v>
      </c>
      <c r="K159" s="6" t="s">
        <v>404</v>
      </c>
      <c r="L159" s="6" t="s">
        <v>403</v>
      </c>
    </row>
    <row r="160" customFormat="false" ht="15" hidden="false" customHeight="false" outlineLevel="0" collapsed="false">
      <c r="A160" s="15" t="s">
        <v>187</v>
      </c>
      <c r="B160" s="16" t="s">
        <v>25</v>
      </c>
      <c r="C160" s="15" t="s">
        <v>188</v>
      </c>
      <c r="D160" s="17" t="n">
        <v>7.82</v>
      </c>
      <c r="E160" s="17" t="n">
        <v>57</v>
      </c>
      <c r="F160" s="18" t="n">
        <f aca="false">IFERROR((E160-D160)/E160,"")</f>
        <v>0.86280701754386</v>
      </c>
      <c r="G160" s="17" t="n">
        <v>26.15</v>
      </c>
      <c r="H160" s="17" t="n">
        <v>17.88</v>
      </c>
      <c r="I160" s="17" t="n">
        <v>14.23</v>
      </c>
      <c r="J160" s="17" t="n">
        <v>14.67</v>
      </c>
      <c r="K160" s="15" t="s">
        <v>404</v>
      </c>
      <c r="L160" s="15" t="s">
        <v>403</v>
      </c>
    </row>
    <row r="161" customFormat="false" ht="15" hidden="false" customHeight="false" outlineLevel="0" collapsed="false">
      <c r="A161" s="6" t="s">
        <v>189</v>
      </c>
      <c r="B161" s="7" t="s">
        <v>23</v>
      </c>
      <c r="C161" s="6" t="s">
        <v>190</v>
      </c>
      <c r="D161" s="8" t="n">
        <v>7.96</v>
      </c>
      <c r="E161" s="8" t="n">
        <v>58.89</v>
      </c>
      <c r="F161" s="9" t="n">
        <f aca="false">IFERROR((E161-D161)/E161,"")</f>
        <v>0.864832739004924</v>
      </c>
      <c r="G161" s="8" t="n">
        <v>37.22</v>
      </c>
      <c r="H161" s="8" t="n">
        <v>25.57</v>
      </c>
      <c r="I161" s="8" t="n">
        <v>16.53</v>
      </c>
      <c r="J161" s="8" t="n">
        <v>16.89</v>
      </c>
      <c r="K161" s="6" t="s">
        <v>402</v>
      </c>
      <c r="L161" s="6" t="s">
        <v>403</v>
      </c>
    </row>
    <row r="162" customFormat="false" ht="15" hidden="false" customHeight="false" outlineLevel="0" collapsed="false">
      <c r="A162" s="15" t="s">
        <v>189</v>
      </c>
      <c r="B162" s="16" t="s">
        <v>25</v>
      </c>
      <c r="C162" s="15" t="s">
        <v>190</v>
      </c>
      <c r="D162" s="17" t="n">
        <v>8.75</v>
      </c>
      <c r="E162" s="17" t="n">
        <v>57</v>
      </c>
      <c r="F162" s="18" t="n">
        <f aca="false">IFERROR((E162-D162)/E162,"")</f>
        <v>0.846491228070175</v>
      </c>
      <c r="G162" s="17" t="n">
        <v>29.26</v>
      </c>
      <c r="H162" s="17" t="n">
        <v>26.02</v>
      </c>
      <c r="I162" s="17" t="n">
        <v>17.64</v>
      </c>
      <c r="J162" s="17" t="n">
        <v>15.58</v>
      </c>
      <c r="K162" s="15" t="s">
        <v>404</v>
      </c>
      <c r="L162" s="15" t="s">
        <v>403</v>
      </c>
    </row>
    <row r="163" customFormat="false" ht="15" hidden="false" customHeight="false" outlineLevel="0" collapsed="false">
      <c r="A163" s="6" t="s">
        <v>191</v>
      </c>
      <c r="B163" s="7" t="s">
        <v>27</v>
      </c>
      <c r="C163" s="6" t="s">
        <v>192</v>
      </c>
      <c r="D163" s="8" t="n">
        <v>6.08</v>
      </c>
      <c r="E163" s="8" t="n">
        <v>41.29</v>
      </c>
      <c r="F163" s="9" t="n">
        <f aca="false">IFERROR((E163-D163)/E163,"")</f>
        <v>0.852748849600388</v>
      </c>
      <c r="G163" s="8" t="n">
        <v>26.63</v>
      </c>
      <c r="H163" s="8" t="n">
        <v>16.47</v>
      </c>
      <c r="I163" s="8" t="n">
        <v>16.18</v>
      </c>
      <c r="J163" s="8" t="n">
        <v>15.58</v>
      </c>
      <c r="K163" s="6" t="s">
        <v>404</v>
      </c>
      <c r="L163" s="6" t="s">
        <v>403</v>
      </c>
    </row>
    <row r="164" customFormat="false" ht="15" hidden="false" customHeight="false" outlineLevel="0" collapsed="false">
      <c r="A164" s="15" t="s">
        <v>193</v>
      </c>
      <c r="B164" s="16" t="s">
        <v>27</v>
      </c>
      <c r="C164" s="15" t="s">
        <v>194</v>
      </c>
      <c r="D164" s="17" t="n">
        <v>6.06</v>
      </c>
      <c r="E164" s="17" t="n">
        <v>41.29</v>
      </c>
      <c r="F164" s="18" t="n">
        <f aca="false">IFERROR((E164-D164)/E164,"")</f>
        <v>0.853233228384597</v>
      </c>
      <c r="G164" s="17" t="n">
        <v>26.63</v>
      </c>
      <c r="H164" s="17" t="n">
        <v>16.47</v>
      </c>
      <c r="I164" s="17" t="n">
        <v>16.18</v>
      </c>
      <c r="J164" s="17" t="n">
        <v>15.58</v>
      </c>
      <c r="K164" s="15" t="s">
        <v>404</v>
      </c>
      <c r="L164" s="15" t="s">
        <v>403</v>
      </c>
    </row>
    <row r="165" customFormat="false" ht="15" hidden="false" customHeight="false" outlineLevel="0" collapsed="false">
      <c r="A165" s="6" t="s">
        <v>195</v>
      </c>
      <c r="B165" s="7" t="s">
        <v>27</v>
      </c>
      <c r="C165" s="6" t="s">
        <v>196</v>
      </c>
      <c r="D165" s="8" t="n">
        <v>5.84</v>
      </c>
      <c r="E165" s="8" t="n">
        <v>41.29</v>
      </c>
      <c r="F165" s="9" t="n">
        <f aca="false">IFERROR((E165-D165)/E165,"")</f>
        <v>0.858561395010899</v>
      </c>
      <c r="G165" s="8" t="n">
        <v>26.63</v>
      </c>
      <c r="H165" s="8" t="n">
        <v>16.64</v>
      </c>
      <c r="I165" s="8" t="n">
        <v>16.18</v>
      </c>
      <c r="J165" s="8" t="n">
        <v>15.58</v>
      </c>
      <c r="K165" s="6" t="s">
        <v>404</v>
      </c>
      <c r="L165" s="6" t="s">
        <v>403</v>
      </c>
    </row>
    <row r="166" customFormat="false" ht="15" hidden="false" customHeight="false" outlineLevel="0" collapsed="false">
      <c r="A166" s="15" t="s">
        <v>197</v>
      </c>
      <c r="B166" s="16" t="s">
        <v>27</v>
      </c>
      <c r="C166" s="15" t="s">
        <v>198</v>
      </c>
      <c r="D166" s="17" t="n">
        <v>6.31</v>
      </c>
      <c r="E166" s="17" t="n">
        <v>41.29</v>
      </c>
      <c r="F166" s="18" t="n">
        <f aca="false">IFERROR((E166-D166)/E166,"")</f>
        <v>0.847178493581981</v>
      </c>
      <c r="G166" s="17" t="n">
        <v>26.63</v>
      </c>
      <c r="H166" s="17" t="n">
        <v>17.97</v>
      </c>
      <c r="I166" s="17" t="n">
        <v>16.18</v>
      </c>
      <c r="J166" s="17" t="n">
        <v>15.58</v>
      </c>
      <c r="K166" s="15" t="s">
        <v>402</v>
      </c>
      <c r="L166" s="15" t="s">
        <v>403</v>
      </c>
    </row>
    <row r="167" customFormat="false" ht="15" hidden="false" customHeight="false" outlineLevel="0" collapsed="false">
      <c r="A167" s="6" t="s">
        <v>199</v>
      </c>
      <c r="B167" s="7" t="s">
        <v>27</v>
      </c>
      <c r="C167" s="6" t="s">
        <v>200</v>
      </c>
      <c r="D167" s="8" t="n">
        <v>5.84</v>
      </c>
      <c r="E167" s="8" t="n">
        <v>41.29</v>
      </c>
      <c r="F167" s="9" t="n">
        <f aca="false">IFERROR((E167-D167)/E167,"")</f>
        <v>0.858561395010899</v>
      </c>
      <c r="G167" s="8" t="n">
        <v>26.63</v>
      </c>
      <c r="H167" s="8" t="n">
        <v>17.97</v>
      </c>
      <c r="I167" s="8" t="n">
        <v>16.18</v>
      </c>
      <c r="J167" s="8" t="n">
        <v>15.58</v>
      </c>
      <c r="K167" s="6" t="s">
        <v>402</v>
      </c>
      <c r="L167" s="6" t="s">
        <v>403</v>
      </c>
    </row>
    <row r="168" customFormat="false" ht="15" hidden="false" customHeight="false" outlineLevel="0" collapsed="false">
      <c r="A168" s="15" t="s">
        <v>201</v>
      </c>
      <c r="B168" s="16" t="s">
        <v>27</v>
      </c>
      <c r="C168" s="15" t="s">
        <v>202</v>
      </c>
      <c r="D168" s="17" t="n">
        <v>6.37</v>
      </c>
      <c r="E168" s="17" t="n">
        <v>44.38</v>
      </c>
      <c r="F168" s="18" t="n">
        <f aca="false">IFERROR((E168-D168)/E168,"")</f>
        <v>0.856466876971609</v>
      </c>
      <c r="G168" s="17" t="n">
        <v>28.79</v>
      </c>
      <c r="H168" s="17" t="n">
        <v>19.62</v>
      </c>
      <c r="I168" s="17" t="n">
        <v>17.84</v>
      </c>
      <c r="J168" s="17" t="n">
        <v>17.18</v>
      </c>
      <c r="K168" s="15" t="s">
        <v>402</v>
      </c>
      <c r="L168" s="15" t="s">
        <v>403</v>
      </c>
    </row>
    <row r="169" customFormat="false" ht="15" hidden="false" customHeight="false" outlineLevel="0" collapsed="false">
      <c r="A169" s="6" t="s">
        <v>203</v>
      </c>
      <c r="B169" s="7" t="s">
        <v>27</v>
      </c>
      <c r="C169" s="6" t="s">
        <v>204</v>
      </c>
      <c r="D169" s="8" t="n">
        <v>6.06</v>
      </c>
      <c r="E169" s="8" t="n">
        <v>41.29</v>
      </c>
      <c r="F169" s="9" t="n">
        <f aca="false">IFERROR((E169-D169)/E169,"")</f>
        <v>0.853233228384597</v>
      </c>
      <c r="G169" s="8" t="n">
        <v>26.63</v>
      </c>
      <c r="H169" s="8" t="n">
        <v>14.98</v>
      </c>
      <c r="I169" s="8" t="n">
        <v>16.18</v>
      </c>
      <c r="J169" s="8" t="n">
        <v>15.58</v>
      </c>
      <c r="K169" s="6" t="s">
        <v>402</v>
      </c>
      <c r="L169" s="6" t="s">
        <v>403</v>
      </c>
    </row>
    <row r="170" customFormat="false" ht="15" hidden="false" customHeight="false" outlineLevel="0" collapsed="false">
      <c r="A170" s="15" t="s">
        <v>205</v>
      </c>
      <c r="B170" s="16" t="s">
        <v>27</v>
      </c>
      <c r="C170" s="15" t="s">
        <v>206</v>
      </c>
      <c r="D170" s="17" t="n">
        <v>6.17</v>
      </c>
      <c r="E170" s="17" t="n">
        <v>41.29</v>
      </c>
      <c r="F170" s="18" t="n">
        <f aca="false">IFERROR((E170-D170)/E170,"")</f>
        <v>0.850569145071446</v>
      </c>
      <c r="G170" s="17" t="n">
        <v>26.63</v>
      </c>
      <c r="H170" s="17" t="n">
        <v>17.79</v>
      </c>
      <c r="I170" s="17" t="n">
        <v>16.18</v>
      </c>
      <c r="J170" s="17" t="n">
        <v>15.58</v>
      </c>
      <c r="K170" s="15" t="s">
        <v>402</v>
      </c>
      <c r="L170" s="15" t="s">
        <v>403</v>
      </c>
    </row>
    <row r="171" customFormat="false" ht="15" hidden="false" customHeight="false" outlineLevel="0" collapsed="false">
      <c r="A171" s="6" t="s">
        <v>207</v>
      </c>
      <c r="B171" s="7" t="s">
        <v>27</v>
      </c>
      <c r="C171" s="6" t="s">
        <v>208</v>
      </c>
      <c r="D171" s="8" t="n">
        <v>6</v>
      </c>
      <c r="E171" s="8" t="n">
        <v>41.29</v>
      </c>
      <c r="F171" s="9" t="n">
        <f aca="false">IFERROR((E171-D171)/E171,"")</f>
        <v>0.854686364737225</v>
      </c>
      <c r="G171" s="8" t="n">
        <v>26.63</v>
      </c>
      <c r="H171" s="8" t="n">
        <v>17.97</v>
      </c>
      <c r="I171" s="8" t="n">
        <v>16.18</v>
      </c>
      <c r="J171" s="8" t="n">
        <v>15.58</v>
      </c>
      <c r="K171" s="6" t="s">
        <v>402</v>
      </c>
      <c r="L171" s="6" t="s">
        <v>403</v>
      </c>
    </row>
    <row r="172" customFormat="false" ht="15" hidden="false" customHeight="false" outlineLevel="0" collapsed="false">
      <c r="A172" s="15" t="s">
        <v>209</v>
      </c>
      <c r="B172" s="16" t="s">
        <v>27</v>
      </c>
      <c r="C172" s="15" t="s">
        <v>210</v>
      </c>
      <c r="D172" s="17" t="n">
        <v>6.06</v>
      </c>
      <c r="E172" s="17" t="n">
        <v>41.29</v>
      </c>
      <c r="F172" s="18" t="n">
        <f aca="false">IFERROR((E172-D172)/E172,"")</f>
        <v>0.853233228384597</v>
      </c>
      <c r="G172" s="17" t="n">
        <v>26.63</v>
      </c>
      <c r="H172" s="17" t="n">
        <v>16.64</v>
      </c>
      <c r="I172" s="17" t="n">
        <v>16.18</v>
      </c>
      <c r="J172" s="17" t="n">
        <v>15.58</v>
      </c>
      <c r="K172" s="15" t="s">
        <v>402</v>
      </c>
      <c r="L172" s="15" t="s">
        <v>403</v>
      </c>
    </row>
    <row r="173" customFormat="false" ht="15" hidden="false" customHeight="false" outlineLevel="0" collapsed="false">
      <c r="A173" s="6" t="s">
        <v>211</v>
      </c>
      <c r="B173" s="7" t="s">
        <v>27</v>
      </c>
      <c r="C173" s="6" t="s">
        <v>212</v>
      </c>
      <c r="D173" s="8" t="n">
        <v>6.08</v>
      </c>
      <c r="E173" s="8" t="n">
        <v>41.29</v>
      </c>
      <c r="F173" s="9" t="n">
        <f aca="false">IFERROR((E173-D173)/E173,"")</f>
        <v>0.852748849600388</v>
      </c>
      <c r="G173" s="8" t="n">
        <v>26.63</v>
      </c>
      <c r="H173" s="8" t="n">
        <v>16.64</v>
      </c>
      <c r="I173" s="8" t="n">
        <v>16.18</v>
      </c>
      <c r="J173" s="8" t="n">
        <v>15.58</v>
      </c>
      <c r="K173" s="6" t="s">
        <v>402</v>
      </c>
      <c r="L173" s="6" t="s">
        <v>403</v>
      </c>
    </row>
    <row r="174" customFormat="false" ht="15" hidden="false" customHeight="false" outlineLevel="0" collapsed="false">
      <c r="A174" s="15" t="s">
        <v>213</v>
      </c>
      <c r="B174" s="16" t="s">
        <v>27</v>
      </c>
      <c r="C174" s="15" t="s">
        <v>214</v>
      </c>
      <c r="D174" s="17" t="n">
        <v>6.06</v>
      </c>
      <c r="E174" s="17" t="n">
        <v>41.29</v>
      </c>
      <c r="F174" s="18" t="n">
        <f aca="false">IFERROR((E174-D174)/E174,"")</f>
        <v>0.853233228384597</v>
      </c>
      <c r="G174" s="17" t="n">
        <v>26.63</v>
      </c>
      <c r="H174" s="17" t="n">
        <v>16.64</v>
      </c>
      <c r="I174" s="17" t="n">
        <v>16.18</v>
      </c>
      <c r="J174" s="17" t="n">
        <v>15.58</v>
      </c>
      <c r="K174" s="15" t="s">
        <v>402</v>
      </c>
      <c r="L174" s="15" t="s">
        <v>403</v>
      </c>
    </row>
    <row r="175" customFormat="false" ht="15" hidden="false" customHeight="false" outlineLevel="0" collapsed="false">
      <c r="A175" s="6" t="s">
        <v>215</v>
      </c>
      <c r="B175" s="7" t="s">
        <v>27</v>
      </c>
      <c r="C175" s="6" t="s">
        <v>216</v>
      </c>
      <c r="D175" s="8" t="n">
        <v>5.84</v>
      </c>
      <c r="E175" s="8" t="n">
        <v>41.05</v>
      </c>
      <c r="F175" s="9" t="n">
        <f aca="false">IFERROR((E175-D175)/E175,"")</f>
        <v>0.857734470158343</v>
      </c>
      <c r="G175" s="8" t="n">
        <v>26.47</v>
      </c>
      <c r="H175" s="8" t="n">
        <v>16.47</v>
      </c>
      <c r="I175" s="8" t="n">
        <v>16.05</v>
      </c>
      <c r="J175" s="8" t="n">
        <v>15.45</v>
      </c>
      <c r="K175" s="6" t="s">
        <v>404</v>
      </c>
      <c r="L175" s="6" t="s">
        <v>403</v>
      </c>
    </row>
    <row r="176" customFormat="false" ht="15" hidden="false" customHeight="false" outlineLevel="0" collapsed="false">
      <c r="A176" s="15" t="s">
        <v>217</v>
      </c>
      <c r="B176" s="16" t="s">
        <v>27</v>
      </c>
      <c r="C176" s="15" t="s">
        <v>218</v>
      </c>
      <c r="D176" s="17" t="n">
        <v>6.31</v>
      </c>
      <c r="E176" s="17" t="n">
        <v>41.29</v>
      </c>
      <c r="F176" s="18" t="n">
        <f aca="false">IFERROR((E176-D176)/E176,"")</f>
        <v>0.847178493581981</v>
      </c>
      <c r="G176" s="17" t="n">
        <v>26.63</v>
      </c>
      <c r="H176" s="17" t="n">
        <v>16.64</v>
      </c>
      <c r="I176" s="17" t="n">
        <v>16.18</v>
      </c>
      <c r="J176" s="17" t="n">
        <v>15.58</v>
      </c>
      <c r="K176" s="15" t="s">
        <v>402</v>
      </c>
      <c r="L176" s="15" t="s">
        <v>403</v>
      </c>
    </row>
    <row r="177" customFormat="false" ht="15" hidden="false" customHeight="false" outlineLevel="0" collapsed="false">
      <c r="A177" s="6" t="s">
        <v>219</v>
      </c>
      <c r="B177" s="7" t="s">
        <v>27</v>
      </c>
      <c r="C177" s="6" t="s">
        <v>220</v>
      </c>
      <c r="D177" s="8" t="n">
        <v>5.84</v>
      </c>
      <c r="E177" s="8" t="n">
        <v>41.29</v>
      </c>
      <c r="F177" s="9" t="n">
        <f aca="false">IFERROR((E177-D177)/E177,"")</f>
        <v>0.858561395010899</v>
      </c>
      <c r="G177" s="8" t="n">
        <v>26.63</v>
      </c>
      <c r="H177" s="8" t="n">
        <v>16.47</v>
      </c>
      <c r="I177" s="8" t="n">
        <v>16.18</v>
      </c>
      <c r="J177" s="8" t="n">
        <v>15.58</v>
      </c>
      <c r="K177" s="6" t="s">
        <v>402</v>
      </c>
      <c r="L177" s="6" t="s">
        <v>403</v>
      </c>
    </row>
    <row r="178" customFormat="false" ht="15" hidden="false" customHeight="false" outlineLevel="0" collapsed="false">
      <c r="A178" s="15" t="s">
        <v>221</v>
      </c>
      <c r="B178" s="16" t="s">
        <v>27</v>
      </c>
      <c r="C178" s="15" t="s">
        <v>222</v>
      </c>
      <c r="D178" s="17" t="n">
        <v>6.37</v>
      </c>
      <c r="E178" s="17" t="n">
        <v>41.29</v>
      </c>
      <c r="F178" s="18" t="n">
        <f aca="false">IFERROR((E178-D178)/E178,"")</f>
        <v>0.845725357229353</v>
      </c>
      <c r="G178" s="17" t="n">
        <v>26.63</v>
      </c>
      <c r="H178" s="17" t="n">
        <v>16.64</v>
      </c>
      <c r="I178" s="17" t="n">
        <v>16.18</v>
      </c>
      <c r="J178" s="17" t="n">
        <v>15.58</v>
      </c>
      <c r="K178" s="15" t="s">
        <v>402</v>
      </c>
      <c r="L178" s="15" t="s">
        <v>403</v>
      </c>
    </row>
    <row r="179" customFormat="false" ht="15" hidden="false" customHeight="false" outlineLevel="0" collapsed="false">
      <c r="A179" s="6" t="s">
        <v>223</v>
      </c>
      <c r="B179" s="7" t="s">
        <v>27</v>
      </c>
      <c r="C179" s="6" t="s">
        <v>224</v>
      </c>
      <c r="D179" s="8" t="n">
        <v>6.17</v>
      </c>
      <c r="E179" s="8" t="n">
        <v>41.29</v>
      </c>
      <c r="F179" s="9" t="n">
        <f aca="false">IFERROR((E179-D179)/E179,"")</f>
        <v>0.850569145071446</v>
      </c>
      <c r="G179" s="8" t="n">
        <v>26.63</v>
      </c>
      <c r="H179" s="8" t="n">
        <v>16.47</v>
      </c>
      <c r="I179" s="8" t="n">
        <v>16.18</v>
      </c>
      <c r="J179" s="8" t="n">
        <v>15.58</v>
      </c>
      <c r="K179" s="6" t="s">
        <v>402</v>
      </c>
      <c r="L179" s="6" t="s">
        <v>403</v>
      </c>
    </row>
    <row r="180" customFormat="false" ht="15" hidden="false" customHeight="false" outlineLevel="0" collapsed="false">
      <c r="A180" s="15" t="s">
        <v>225</v>
      </c>
      <c r="B180" s="16" t="s">
        <v>27</v>
      </c>
      <c r="C180" s="15" t="s">
        <v>226</v>
      </c>
      <c r="D180" s="17" t="n">
        <v>6.06</v>
      </c>
      <c r="E180" s="17" t="n">
        <v>38.3</v>
      </c>
      <c r="F180" s="18" t="n">
        <f aca="false">IFERROR((E180-D180)/E180,"")</f>
        <v>0.84177545691906</v>
      </c>
      <c r="G180" s="17" t="n">
        <v>24.54</v>
      </c>
      <c r="H180" s="17" t="n">
        <v>14.83</v>
      </c>
      <c r="I180" s="17" t="n">
        <v>14.56</v>
      </c>
      <c r="J180" s="17" t="n">
        <v>14.02</v>
      </c>
      <c r="K180" s="15" t="s">
        <v>402</v>
      </c>
      <c r="L180" s="15" t="s">
        <v>403</v>
      </c>
    </row>
    <row r="181" customFormat="false" ht="15" hidden="false" customHeight="false" outlineLevel="0" collapsed="false">
      <c r="A181" s="6" t="s">
        <v>227</v>
      </c>
      <c r="B181" s="7" t="s">
        <v>27</v>
      </c>
      <c r="C181" s="6" t="s">
        <v>228</v>
      </c>
      <c r="D181" s="8" t="n">
        <v>5.82</v>
      </c>
      <c r="E181" s="8" t="n">
        <v>44.38</v>
      </c>
      <c r="F181" s="9" t="n">
        <f aca="false">IFERROR((E181-D181)/E181,"")</f>
        <v>0.868859846777828</v>
      </c>
      <c r="G181" s="8" t="n">
        <v>28.79</v>
      </c>
      <c r="H181" s="8" t="n">
        <v>14.87</v>
      </c>
      <c r="I181" s="8" t="n">
        <v>17.84</v>
      </c>
      <c r="J181" s="8" t="n">
        <v>17.18</v>
      </c>
      <c r="K181" s="6" t="s">
        <v>402</v>
      </c>
      <c r="L181" s="6" t="s">
        <v>403</v>
      </c>
    </row>
    <row r="182" customFormat="false" ht="15" hidden="false" customHeight="false" outlineLevel="0" collapsed="false">
      <c r="A182" s="15" t="s">
        <v>229</v>
      </c>
      <c r="B182" s="16" t="s">
        <v>27</v>
      </c>
      <c r="C182" s="15" t="s">
        <v>230</v>
      </c>
      <c r="D182" s="17" t="n">
        <v>6</v>
      </c>
      <c r="E182" s="17" t="n">
        <v>41.29</v>
      </c>
      <c r="F182" s="18" t="n">
        <f aca="false">IFERROR((E182-D182)/E182,"")</f>
        <v>0.854686364737225</v>
      </c>
      <c r="G182" s="17" t="n">
        <v>26.63</v>
      </c>
      <c r="H182" s="17" t="n">
        <v>16.47</v>
      </c>
      <c r="I182" s="17" t="n">
        <v>16.18</v>
      </c>
      <c r="J182" s="17" t="n">
        <v>15.58</v>
      </c>
      <c r="K182" s="15" t="s">
        <v>402</v>
      </c>
      <c r="L182" s="15" t="s">
        <v>403</v>
      </c>
    </row>
    <row r="183" customFormat="false" ht="15" hidden="false" customHeight="false" outlineLevel="0" collapsed="false">
      <c r="A183" s="6" t="s">
        <v>231</v>
      </c>
      <c r="B183" s="7" t="s">
        <v>27</v>
      </c>
      <c r="C183" s="6" t="s">
        <v>232</v>
      </c>
      <c r="D183" s="8" t="n">
        <v>6.06</v>
      </c>
      <c r="E183" s="8" t="n">
        <v>41.3</v>
      </c>
      <c r="F183" s="9" t="n">
        <f aca="false">IFERROR((E183-D183)/E183,"")</f>
        <v>0.853268765133172</v>
      </c>
      <c r="G183" s="8" t="n">
        <v>26.63</v>
      </c>
      <c r="H183" s="8" t="n">
        <v>17.79</v>
      </c>
      <c r="I183" s="8" t="n">
        <v>16.18</v>
      </c>
      <c r="J183" s="8" t="n">
        <v>15.58</v>
      </c>
      <c r="K183" s="6" t="s">
        <v>402</v>
      </c>
      <c r="L183" s="6" t="s">
        <v>403</v>
      </c>
    </row>
    <row r="184" customFormat="false" ht="15" hidden="false" customHeight="false" outlineLevel="0" collapsed="false">
      <c r="A184" s="15" t="s">
        <v>233</v>
      </c>
      <c r="B184" s="16" t="s">
        <v>27</v>
      </c>
      <c r="C184" s="15" t="s">
        <v>234</v>
      </c>
      <c r="D184" s="17" t="n">
        <v>5.84</v>
      </c>
      <c r="E184" s="17" t="n">
        <v>41.29</v>
      </c>
      <c r="F184" s="18" t="n">
        <f aca="false">IFERROR((E184-D184)/E184,"")</f>
        <v>0.858561395010899</v>
      </c>
      <c r="G184" s="17" t="n">
        <v>26.63</v>
      </c>
      <c r="H184" s="17" t="n">
        <v>16.64</v>
      </c>
      <c r="I184" s="17" t="n">
        <v>16.18</v>
      </c>
      <c r="J184" s="17" t="n">
        <v>15.58</v>
      </c>
      <c r="K184" s="15" t="s">
        <v>402</v>
      </c>
      <c r="L184" s="15" t="s">
        <v>403</v>
      </c>
    </row>
    <row r="185" customFormat="false" ht="15" hidden="false" customHeight="false" outlineLevel="0" collapsed="false">
      <c r="A185" s="6" t="s">
        <v>235</v>
      </c>
      <c r="B185" s="7" t="s">
        <v>27</v>
      </c>
      <c r="C185" s="6" t="s">
        <v>236</v>
      </c>
      <c r="D185" s="8" t="n">
        <v>6.31</v>
      </c>
      <c r="E185" s="8" t="n">
        <v>41.29</v>
      </c>
      <c r="F185" s="9" t="n">
        <f aca="false">IFERROR((E185-D185)/E185,"")</f>
        <v>0.847178493581981</v>
      </c>
      <c r="G185" s="8" t="n">
        <v>26.63</v>
      </c>
      <c r="H185" s="8" t="n">
        <v>16.64</v>
      </c>
      <c r="I185" s="8" t="n">
        <v>16.18</v>
      </c>
      <c r="J185" s="8" t="n">
        <v>15.58</v>
      </c>
      <c r="K185" s="6" t="s">
        <v>404</v>
      </c>
      <c r="L185" s="6" t="s">
        <v>403</v>
      </c>
    </row>
    <row r="186" customFormat="false" ht="15" hidden="false" customHeight="false" outlineLevel="0" collapsed="false">
      <c r="A186" s="15" t="s">
        <v>237</v>
      </c>
      <c r="B186" s="16" t="s">
        <v>27</v>
      </c>
      <c r="C186" s="15" t="s">
        <v>238</v>
      </c>
      <c r="D186" s="17" t="n">
        <v>5.84</v>
      </c>
      <c r="E186" s="17" t="n">
        <v>41.29</v>
      </c>
      <c r="F186" s="18" t="n">
        <f aca="false">IFERROR((E186-D186)/E186,"")</f>
        <v>0.858561395010899</v>
      </c>
      <c r="G186" s="17" t="n">
        <v>26.63</v>
      </c>
      <c r="H186" s="17" t="n">
        <v>16.47</v>
      </c>
      <c r="I186" s="17" t="n">
        <v>16.18</v>
      </c>
      <c r="J186" s="17" t="n">
        <v>15.58</v>
      </c>
      <c r="K186" s="15" t="s">
        <v>404</v>
      </c>
      <c r="L186" s="15" t="s">
        <v>403</v>
      </c>
    </row>
    <row r="187" customFormat="false" ht="15" hidden="false" customHeight="false" outlineLevel="0" collapsed="false">
      <c r="A187" s="6" t="s">
        <v>239</v>
      </c>
      <c r="B187" s="7" t="s">
        <v>27</v>
      </c>
      <c r="C187" s="6" t="s">
        <v>240</v>
      </c>
      <c r="D187" s="8" t="n">
        <v>6.37</v>
      </c>
      <c r="E187" s="8" t="n">
        <v>41.29</v>
      </c>
      <c r="F187" s="9" t="n">
        <f aca="false">IFERROR((E187-D187)/E187,"")</f>
        <v>0.845725357229353</v>
      </c>
      <c r="G187" s="8" t="n">
        <v>26.63</v>
      </c>
      <c r="H187" s="8" t="n">
        <v>16.52</v>
      </c>
      <c r="I187" s="8" t="n">
        <v>16.18</v>
      </c>
      <c r="J187" s="8" t="n">
        <v>15.58</v>
      </c>
      <c r="K187" s="6" t="s">
        <v>404</v>
      </c>
      <c r="L187" s="6" t="s">
        <v>403</v>
      </c>
    </row>
    <row r="188" customFormat="false" ht="15" hidden="false" customHeight="false" outlineLevel="0" collapsed="false">
      <c r="A188" s="15" t="s">
        <v>241</v>
      </c>
      <c r="B188" s="16" t="s">
        <v>27</v>
      </c>
      <c r="C188" s="15" t="s">
        <v>242</v>
      </c>
      <c r="D188" s="17" t="n">
        <v>6.06</v>
      </c>
      <c r="E188" s="17" t="n">
        <v>41.29</v>
      </c>
      <c r="F188" s="18" t="n">
        <f aca="false">IFERROR((E188-D188)/E188,"")</f>
        <v>0.853233228384597</v>
      </c>
      <c r="G188" s="17" t="n">
        <v>26.63</v>
      </c>
      <c r="H188" s="17" t="n">
        <v>16.64</v>
      </c>
      <c r="I188" s="17" t="n">
        <v>16.18</v>
      </c>
      <c r="J188" s="17" t="n">
        <v>15.58</v>
      </c>
      <c r="K188" s="15" t="s">
        <v>402</v>
      </c>
      <c r="L188" s="15" t="s">
        <v>403</v>
      </c>
    </row>
    <row r="189" customFormat="false" ht="15" hidden="false" customHeight="false" outlineLevel="0" collapsed="false">
      <c r="A189" s="6" t="s">
        <v>243</v>
      </c>
      <c r="B189" s="7" t="s">
        <v>27</v>
      </c>
      <c r="C189" s="6" t="s">
        <v>244</v>
      </c>
      <c r="D189" s="8" t="n">
        <v>6.17</v>
      </c>
      <c r="E189" s="8" t="n">
        <v>41.05</v>
      </c>
      <c r="F189" s="9" t="n">
        <f aca="false">IFERROR((E189-D189)/E189,"")</f>
        <v>0.849695493300853</v>
      </c>
      <c r="G189" s="8" t="n">
        <v>26.47</v>
      </c>
      <c r="H189" s="8" t="n">
        <v>16.64</v>
      </c>
      <c r="I189" s="8" t="n">
        <v>16.05</v>
      </c>
      <c r="J189" s="8" t="n">
        <v>15.45</v>
      </c>
      <c r="K189" s="6" t="s">
        <v>404</v>
      </c>
      <c r="L189" s="6" t="s">
        <v>403</v>
      </c>
    </row>
    <row r="190" customFormat="false" ht="15" hidden="false" customHeight="false" outlineLevel="0" collapsed="false">
      <c r="A190" s="15" t="s">
        <v>245</v>
      </c>
      <c r="B190" s="16" t="s">
        <v>27</v>
      </c>
      <c r="C190" s="15" t="s">
        <v>246</v>
      </c>
      <c r="D190" s="17" t="n">
        <v>6.08</v>
      </c>
      <c r="E190" s="17" t="n">
        <v>41.05</v>
      </c>
      <c r="F190" s="18" t="n">
        <f aca="false">IFERROR((E190-D190)/E190,"")</f>
        <v>0.851887941534714</v>
      </c>
      <c r="G190" s="17" t="n">
        <v>26.47</v>
      </c>
      <c r="H190" s="17" t="n">
        <v>16.51</v>
      </c>
      <c r="I190" s="17" t="n">
        <v>16.05</v>
      </c>
      <c r="J190" s="17" t="n">
        <v>15.45</v>
      </c>
      <c r="K190" s="15" t="s">
        <v>404</v>
      </c>
      <c r="L190" s="15" t="s">
        <v>403</v>
      </c>
    </row>
    <row r="191" customFormat="false" ht="15" hidden="false" customHeight="false" outlineLevel="0" collapsed="false">
      <c r="A191" s="6" t="s">
        <v>247</v>
      </c>
      <c r="B191" s="7" t="s">
        <v>27</v>
      </c>
      <c r="C191" s="6" t="s">
        <v>248</v>
      </c>
      <c r="D191" s="8" t="n">
        <v>5.84</v>
      </c>
      <c r="E191" s="8" t="n">
        <v>41.05</v>
      </c>
      <c r="F191" s="9" t="n">
        <f aca="false">IFERROR((E191-D191)/E191,"")</f>
        <v>0.857734470158343</v>
      </c>
      <c r="G191" s="8" t="n">
        <v>26.47</v>
      </c>
      <c r="H191" s="8" t="n">
        <v>16.47</v>
      </c>
      <c r="I191" s="8" t="n">
        <v>16.05</v>
      </c>
      <c r="J191" s="8" t="n">
        <v>15.45</v>
      </c>
      <c r="K191" s="6" t="s">
        <v>404</v>
      </c>
      <c r="L191" s="6" t="s">
        <v>403</v>
      </c>
    </row>
    <row r="192" customFormat="false" ht="15" hidden="false" customHeight="false" outlineLevel="0" collapsed="false">
      <c r="A192" s="15" t="s">
        <v>249</v>
      </c>
      <c r="B192" s="16" t="s">
        <v>27</v>
      </c>
      <c r="C192" s="15" t="s">
        <v>250</v>
      </c>
      <c r="D192" s="17" t="n">
        <v>6.31</v>
      </c>
      <c r="E192" s="17" t="n">
        <v>41.05</v>
      </c>
      <c r="F192" s="18" t="n">
        <f aca="false">IFERROR((E192-D192)/E192,"")</f>
        <v>0.846285018270402</v>
      </c>
      <c r="G192" s="17" t="n">
        <v>26.47</v>
      </c>
      <c r="H192" s="17" t="n">
        <v>16.47</v>
      </c>
      <c r="I192" s="17" t="n">
        <v>16.05</v>
      </c>
      <c r="J192" s="17" t="n">
        <v>15.45</v>
      </c>
      <c r="K192" s="15" t="s">
        <v>404</v>
      </c>
      <c r="L192" s="15" t="s">
        <v>403</v>
      </c>
    </row>
    <row r="193" customFormat="false" ht="15" hidden="false" customHeight="false" outlineLevel="0" collapsed="false">
      <c r="A193" s="6" t="s">
        <v>251</v>
      </c>
      <c r="B193" s="7" t="s">
        <v>27</v>
      </c>
      <c r="C193" s="6" t="s">
        <v>252</v>
      </c>
      <c r="D193" s="8" t="n">
        <v>5.84</v>
      </c>
      <c r="E193" s="8" t="n">
        <v>41.29</v>
      </c>
      <c r="F193" s="9" t="n">
        <f aca="false">IFERROR((E193-D193)/E193,"")</f>
        <v>0.858561395010899</v>
      </c>
      <c r="G193" s="8" t="n">
        <v>26.63</v>
      </c>
      <c r="H193" s="8" t="n">
        <v>16.64</v>
      </c>
      <c r="I193" s="8" t="n">
        <v>16.18</v>
      </c>
      <c r="J193" s="8" t="n">
        <v>15.58</v>
      </c>
      <c r="K193" s="6" t="s">
        <v>402</v>
      </c>
      <c r="L193" s="6" t="s">
        <v>403</v>
      </c>
    </row>
    <row r="194" customFormat="false" ht="15" hidden="false" customHeight="false" outlineLevel="0" collapsed="false">
      <c r="A194" s="15" t="s">
        <v>253</v>
      </c>
      <c r="B194" s="16" t="s">
        <v>27</v>
      </c>
      <c r="C194" s="15" t="s">
        <v>254</v>
      </c>
      <c r="D194" s="17" t="n">
        <v>6.37</v>
      </c>
      <c r="E194" s="17" t="n">
        <v>41.29</v>
      </c>
      <c r="F194" s="18" t="n">
        <f aca="false">IFERROR((E194-D194)/E194,"")</f>
        <v>0.845725357229353</v>
      </c>
      <c r="G194" s="17" t="n">
        <v>26.63</v>
      </c>
      <c r="H194" s="17" t="n">
        <v>16.64</v>
      </c>
      <c r="I194" s="17" t="n">
        <v>16.18</v>
      </c>
      <c r="J194" s="17" t="n">
        <v>15.58</v>
      </c>
      <c r="K194" s="15" t="s">
        <v>402</v>
      </c>
      <c r="L194" s="15" t="s">
        <v>403</v>
      </c>
    </row>
    <row r="195" customFormat="false" ht="15" hidden="false" customHeight="false" outlineLevel="0" collapsed="false">
      <c r="A195" s="6" t="s">
        <v>255</v>
      </c>
      <c r="B195" s="7" t="s">
        <v>27</v>
      </c>
      <c r="C195" s="6" t="s">
        <v>256</v>
      </c>
      <c r="D195" s="8" t="n">
        <v>6.06</v>
      </c>
      <c r="E195" s="8" t="n">
        <v>41.29</v>
      </c>
      <c r="F195" s="9" t="n">
        <f aca="false">IFERROR((E195-D195)/E195,"")</f>
        <v>0.853233228384597</v>
      </c>
      <c r="G195" s="8" t="n">
        <v>26.63</v>
      </c>
      <c r="H195" s="8" t="n">
        <v>16.64</v>
      </c>
      <c r="I195" s="8" t="n">
        <v>16.18</v>
      </c>
      <c r="J195" s="8" t="n">
        <v>15.58</v>
      </c>
      <c r="K195" s="6" t="s">
        <v>402</v>
      </c>
      <c r="L195" s="6" t="s">
        <v>403</v>
      </c>
    </row>
    <row r="196" customFormat="false" ht="15" hidden="false" customHeight="false" outlineLevel="0" collapsed="false">
      <c r="A196" s="15" t="s">
        <v>257</v>
      </c>
      <c r="B196" s="16" t="s">
        <v>27</v>
      </c>
      <c r="C196" s="15" t="s">
        <v>258</v>
      </c>
      <c r="D196" s="17" t="n">
        <v>6.17</v>
      </c>
      <c r="E196" s="17" t="n">
        <v>41.29</v>
      </c>
      <c r="F196" s="18" t="n">
        <f aca="false">IFERROR((E196-D196)/E196,"")</f>
        <v>0.850569145071446</v>
      </c>
      <c r="G196" s="17" t="n">
        <v>26.63</v>
      </c>
      <c r="H196" s="17" t="n">
        <v>17.97</v>
      </c>
      <c r="I196" s="17" t="n">
        <v>16.18</v>
      </c>
      <c r="J196" s="17" t="n">
        <v>15.58</v>
      </c>
      <c r="K196" s="15" t="s">
        <v>402</v>
      </c>
      <c r="L196" s="15" t="s">
        <v>403</v>
      </c>
    </row>
    <row r="197" customFormat="false" ht="15" hidden="false" customHeight="false" outlineLevel="0" collapsed="false">
      <c r="A197" s="6" t="s">
        <v>259</v>
      </c>
      <c r="B197" s="7" t="s">
        <v>27</v>
      </c>
      <c r="C197" s="6" t="s">
        <v>260</v>
      </c>
      <c r="D197" s="8" t="n">
        <v>6.31</v>
      </c>
      <c r="E197" s="8" t="n">
        <v>44.29</v>
      </c>
      <c r="F197" s="9" t="n">
        <f aca="false">IFERROR((E197-D197)/E197,"")</f>
        <v>0.857529916459697</v>
      </c>
      <c r="G197" s="8" t="n">
        <v>28.74</v>
      </c>
      <c r="H197" s="8" t="n">
        <v>16.32</v>
      </c>
      <c r="I197" s="8" t="n">
        <v>17.8</v>
      </c>
      <c r="J197" s="8" t="n">
        <v>17.14</v>
      </c>
      <c r="K197" s="6" t="s">
        <v>402</v>
      </c>
      <c r="L197" s="6" t="s">
        <v>403</v>
      </c>
    </row>
    <row r="198" customFormat="false" ht="15" hidden="false" customHeight="false" outlineLevel="0" collapsed="false">
      <c r="A198" s="15" t="s">
        <v>261</v>
      </c>
      <c r="B198" s="16" t="s">
        <v>27</v>
      </c>
      <c r="C198" s="15" t="s">
        <v>262</v>
      </c>
      <c r="D198" s="17" t="n">
        <v>6.17</v>
      </c>
      <c r="E198" s="17" t="n">
        <v>41.29</v>
      </c>
      <c r="F198" s="18" t="n">
        <f aca="false">IFERROR((E198-D198)/E198,"")</f>
        <v>0.850569145071446</v>
      </c>
      <c r="G198" s="17" t="n">
        <v>26.63</v>
      </c>
      <c r="H198" s="17" t="n">
        <v>16.47</v>
      </c>
      <c r="I198" s="17" t="n">
        <v>16.18</v>
      </c>
      <c r="J198" s="17" t="n">
        <v>15.58</v>
      </c>
      <c r="K198" s="15" t="s">
        <v>402</v>
      </c>
      <c r="L198" s="15" t="s">
        <v>403</v>
      </c>
    </row>
    <row r="199" customFormat="false" ht="15" hidden="false" customHeight="false" outlineLevel="0" collapsed="false">
      <c r="A199" s="6" t="s">
        <v>263</v>
      </c>
      <c r="B199" s="7" t="s">
        <v>27</v>
      </c>
      <c r="C199" s="6" t="s">
        <v>264</v>
      </c>
      <c r="D199" s="8" t="n">
        <v>6.08</v>
      </c>
      <c r="E199" s="8" t="n">
        <v>31.16</v>
      </c>
      <c r="F199" s="9" t="n">
        <f aca="false">IFERROR((E199-D199)/E199,"")</f>
        <v>0.804878048780488</v>
      </c>
      <c r="G199" s="8" t="n">
        <v>20.54</v>
      </c>
      <c r="H199" s="8" t="n">
        <v>12.6</v>
      </c>
      <c r="I199" s="8" t="n">
        <v>10.7</v>
      </c>
      <c r="J199" s="8" t="n">
        <v>10.3</v>
      </c>
      <c r="K199" s="6" t="s">
        <v>402</v>
      </c>
      <c r="L199" s="6" t="s">
        <v>411</v>
      </c>
    </row>
    <row r="200" customFormat="false" ht="15" hidden="false" customHeight="false" outlineLevel="0" collapsed="false">
      <c r="A200" s="15" t="s">
        <v>265</v>
      </c>
      <c r="B200" s="16" t="s">
        <v>27</v>
      </c>
      <c r="C200" s="15" t="s">
        <v>266</v>
      </c>
      <c r="D200" s="17" t="n">
        <v>6.31</v>
      </c>
      <c r="E200" s="17" t="n">
        <v>41.29</v>
      </c>
      <c r="F200" s="18" t="n">
        <f aca="false">IFERROR((E200-D200)/E200,"")</f>
        <v>0.847178493581981</v>
      </c>
      <c r="G200" s="17" t="n">
        <v>26.63</v>
      </c>
      <c r="H200" s="17" t="n">
        <v>16.47</v>
      </c>
      <c r="I200" s="17" t="n">
        <v>16.18</v>
      </c>
      <c r="J200" s="17" t="n">
        <v>15.58</v>
      </c>
      <c r="K200" s="15" t="s">
        <v>404</v>
      </c>
      <c r="L200" s="15" t="s">
        <v>403</v>
      </c>
    </row>
    <row r="201" customFormat="false" ht="15" hidden="false" customHeight="false" outlineLevel="0" collapsed="false">
      <c r="A201" s="6" t="s">
        <v>267</v>
      </c>
      <c r="B201" s="7" t="s">
        <v>27</v>
      </c>
      <c r="C201" s="6" t="s">
        <v>268</v>
      </c>
      <c r="D201" s="8" t="n">
        <v>6.31</v>
      </c>
      <c r="E201" s="8" t="n">
        <v>41.29</v>
      </c>
      <c r="F201" s="9" t="n">
        <f aca="false">IFERROR((E201-D201)/E201,"")</f>
        <v>0.847178493581981</v>
      </c>
      <c r="G201" s="8" t="n">
        <v>26.63</v>
      </c>
      <c r="H201" s="8" t="n">
        <v>16.52</v>
      </c>
      <c r="I201" s="8" t="n">
        <v>16.18</v>
      </c>
      <c r="J201" s="8" t="n">
        <v>15.58</v>
      </c>
      <c r="K201" s="6" t="s">
        <v>404</v>
      </c>
      <c r="L201" s="6" t="s">
        <v>412</v>
      </c>
    </row>
    <row r="202" customFormat="false" ht="15" hidden="false" customHeight="false" outlineLevel="0" collapsed="false">
      <c r="A202" s="15" t="s">
        <v>269</v>
      </c>
      <c r="B202" s="16" t="s">
        <v>27</v>
      </c>
      <c r="C202" s="15" t="s">
        <v>270</v>
      </c>
      <c r="D202" s="17" t="n">
        <v>5.84</v>
      </c>
      <c r="E202" s="17" t="n">
        <v>41.29</v>
      </c>
      <c r="F202" s="18" t="n">
        <f aca="false">IFERROR((E202-D202)/E202,"")</f>
        <v>0.858561395010899</v>
      </c>
      <c r="G202" s="17" t="n">
        <v>26.63</v>
      </c>
      <c r="H202" s="17" t="n">
        <v>16.52</v>
      </c>
      <c r="I202" s="17" t="n">
        <v>16.18</v>
      </c>
      <c r="J202" s="17" t="n">
        <v>15.58</v>
      </c>
      <c r="K202" s="15" t="s">
        <v>404</v>
      </c>
      <c r="L202" s="15" t="s">
        <v>403</v>
      </c>
    </row>
    <row r="203" customFormat="false" ht="15" hidden="false" customHeight="false" outlineLevel="0" collapsed="false">
      <c r="A203" s="6" t="s">
        <v>271</v>
      </c>
      <c r="B203" s="7" t="s">
        <v>27</v>
      </c>
      <c r="C203" s="6" t="s">
        <v>272</v>
      </c>
      <c r="D203" s="8" t="n">
        <v>6.06</v>
      </c>
      <c r="E203" s="8" t="n">
        <v>41.05</v>
      </c>
      <c r="F203" s="9" t="n">
        <f aca="false">IFERROR((E203-D203)/E203,"")</f>
        <v>0.85237515225335</v>
      </c>
      <c r="G203" s="8" t="n">
        <v>26.47</v>
      </c>
      <c r="H203" s="8" t="n">
        <v>16.34</v>
      </c>
      <c r="I203" s="8" t="n">
        <v>16.05</v>
      </c>
      <c r="J203" s="8" t="n">
        <v>15.45</v>
      </c>
      <c r="K203" s="6" t="s">
        <v>402</v>
      </c>
      <c r="L203" s="6" t="s">
        <v>403</v>
      </c>
    </row>
    <row r="204" customFormat="false" ht="15" hidden="false" customHeight="false" outlineLevel="0" collapsed="false">
      <c r="A204" s="15" t="s">
        <v>273</v>
      </c>
      <c r="B204" s="16" t="s">
        <v>27</v>
      </c>
      <c r="C204" s="15" t="s">
        <v>274</v>
      </c>
      <c r="D204" s="17" t="n">
        <v>6.06</v>
      </c>
      <c r="E204" s="17" t="n">
        <v>53.98</v>
      </c>
      <c r="F204" s="18" t="n">
        <f aca="false">IFERROR((E204-D204)/E204,"")</f>
        <v>0.887736198592071</v>
      </c>
      <c r="G204" s="17" t="n">
        <v>42.36</v>
      </c>
      <c r="H204" s="17" t="n">
        <v>22.69</v>
      </c>
      <c r="I204" s="17" t="n">
        <v>20.63</v>
      </c>
      <c r="J204" s="17" t="n">
        <v>19.86</v>
      </c>
      <c r="K204" s="15" t="s">
        <v>402</v>
      </c>
      <c r="L204" s="15" t="s">
        <v>403</v>
      </c>
    </row>
    <row r="205" customFormat="false" ht="15" hidden="false" customHeight="false" outlineLevel="0" collapsed="false">
      <c r="A205" s="6" t="s">
        <v>275</v>
      </c>
      <c r="B205" s="7" t="s">
        <v>27</v>
      </c>
      <c r="C205" s="6" t="s">
        <v>276</v>
      </c>
      <c r="D205" s="8" t="n">
        <v>6.06</v>
      </c>
      <c r="E205" s="8" t="n">
        <v>44.1</v>
      </c>
      <c r="F205" s="9" t="n">
        <f aca="false">IFERROR((E205-D205)/E205,"")</f>
        <v>0.862585034013605</v>
      </c>
      <c r="G205" s="8" t="n">
        <v>28.6</v>
      </c>
      <c r="H205" s="8" t="n">
        <v>19.67</v>
      </c>
      <c r="I205" s="8" t="n">
        <v>17.69</v>
      </c>
      <c r="J205" s="8" t="n">
        <v>17.04</v>
      </c>
      <c r="K205" s="6" t="s">
        <v>402</v>
      </c>
      <c r="L205" s="6" t="s">
        <v>403</v>
      </c>
    </row>
    <row r="206" customFormat="false" ht="15" hidden="false" customHeight="false" outlineLevel="0" collapsed="false">
      <c r="A206" s="15" t="s">
        <v>277</v>
      </c>
      <c r="B206" s="16" t="s">
        <v>27</v>
      </c>
      <c r="C206" s="15" t="s">
        <v>278</v>
      </c>
      <c r="D206" s="17" t="n">
        <v>6.17</v>
      </c>
      <c r="E206" s="17" t="n">
        <v>41.05</v>
      </c>
      <c r="F206" s="18" t="n">
        <f aca="false">IFERROR((E206-D206)/E206,"")</f>
        <v>0.849695493300853</v>
      </c>
      <c r="G206" s="17" t="n">
        <v>26.47</v>
      </c>
      <c r="H206" s="17" t="n">
        <v>16.47</v>
      </c>
      <c r="I206" s="17" t="n">
        <v>16.05</v>
      </c>
      <c r="J206" s="17" t="n">
        <v>15.45</v>
      </c>
      <c r="K206" s="15" t="s">
        <v>404</v>
      </c>
      <c r="L206" s="15" t="s">
        <v>403</v>
      </c>
    </row>
    <row r="207" customFormat="false" ht="15" hidden="false" customHeight="false" outlineLevel="0" collapsed="false">
      <c r="A207" s="6" t="s">
        <v>279</v>
      </c>
      <c r="B207" s="7" t="s">
        <v>27</v>
      </c>
      <c r="C207" s="6" t="s">
        <v>280</v>
      </c>
      <c r="D207" s="8" t="n">
        <v>6.17</v>
      </c>
      <c r="E207" s="8" t="n">
        <v>44.1</v>
      </c>
      <c r="F207" s="9" t="n">
        <f aca="false">IFERROR((E207-D207)/E207,"")</f>
        <v>0.860090702947846</v>
      </c>
      <c r="G207" s="8" t="n">
        <v>28.6</v>
      </c>
      <c r="H207" s="8" t="n">
        <v>19.48</v>
      </c>
      <c r="I207" s="8" t="n">
        <v>17.69</v>
      </c>
      <c r="J207" s="8" t="n">
        <v>17.04</v>
      </c>
      <c r="K207" s="6" t="s">
        <v>402</v>
      </c>
      <c r="L207" s="6" t="s">
        <v>403</v>
      </c>
    </row>
    <row r="208" customFormat="false" ht="15" hidden="false" customHeight="false" outlineLevel="0" collapsed="false">
      <c r="A208" s="15" t="s">
        <v>281</v>
      </c>
      <c r="B208" s="16" t="s">
        <v>27</v>
      </c>
      <c r="C208" s="15" t="s">
        <v>282</v>
      </c>
      <c r="D208" s="17" t="n">
        <v>6.17</v>
      </c>
      <c r="E208" s="17" t="n">
        <v>41.29</v>
      </c>
      <c r="F208" s="18" t="n">
        <f aca="false">IFERROR((E208-D208)/E208,"")</f>
        <v>0.850569145071446</v>
      </c>
      <c r="G208" s="17" t="n">
        <v>26.63</v>
      </c>
      <c r="H208" s="17" t="n">
        <v>16.47</v>
      </c>
      <c r="I208" s="17" t="n">
        <v>16.18</v>
      </c>
      <c r="J208" s="17" t="n">
        <v>15.58</v>
      </c>
      <c r="K208" s="15" t="s">
        <v>402</v>
      </c>
      <c r="L208" s="15" t="s">
        <v>403</v>
      </c>
    </row>
    <row r="209" customFormat="false" ht="15" hidden="false" customHeight="false" outlineLevel="0" collapsed="false">
      <c r="A209" s="6" t="s">
        <v>283</v>
      </c>
      <c r="B209" s="7" t="s">
        <v>27</v>
      </c>
      <c r="C209" s="6" t="s">
        <v>284</v>
      </c>
      <c r="D209" s="8" t="n">
        <v>6.17</v>
      </c>
      <c r="E209" s="8" t="n">
        <v>41.05</v>
      </c>
      <c r="F209" s="9" t="n">
        <f aca="false">IFERROR((E209-D209)/E209,"")</f>
        <v>0.849695493300853</v>
      </c>
      <c r="G209" s="8" t="n">
        <v>26.47</v>
      </c>
      <c r="H209" s="8" t="n">
        <v>17.83</v>
      </c>
      <c r="I209" s="8" t="n">
        <v>16.05</v>
      </c>
      <c r="J209" s="8" t="n">
        <v>15.45</v>
      </c>
      <c r="K209" s="6" t="s">
        <v>402</v>
      </c>
      <c r="L209" s="6" t="s">
        <v>403</v>
      </c>
    </row>
    <row r="210" customFormat="false" ht="15" hidden="false" customHeight="false" outlineLevel="0" collapsed="false">
      <c r="A210" s="15" t="s">
        <v>285</v>
      </c>
      <c r="B210" s="16" t="s">
        <v>27</v>
      </c>
      <c r="C210" s="15" t="s">
        <v>286</v>
      </c>
      <c r="D210" s="17" t="n">
        <v>6.17</v>
      </c>
      <c r="E210" s="17" t="n">
        <v>44.03</v>
      </c>
      <c r="F210" s="18" t="n">
        <f aca="false">IFERROR((E210-D210)/E210,"")</f>
        <v>0.859868271632978</v>
      </c>
      <c r="G210" s="17" t="n">
        <v>28.57</v>
      </c>
      <c r="H210" s="17" t="n">
        <v>16.19</v>
      </c>
      <c r="I210" s="17" t="n">
        <v>17.66</v>
      </c>
      <c r="J210" s="17" t="n">
        <v>17</v>
      </c>
      <c r="K210" s="15" t="s">
        <v>402</v>
      </c>
      <c r="L210" s="15" t="s">
        <v>403</v>
      </c>
    </row>
    <row r="211" customFormat="false" ht="15" hidden="false" customHeight="false" outlineLevel="0" collapsed="false">
      <c r="A211" s="6" t="s">
        <v>287</v>
      </c>
      <c r="B211" s="7" t="s">
        <v>27</v>
      </c>
      <c r="C211" s="6" t="s">
        <v>288</v>
      </c>
      <c r="D211" s="8" t="n">
        <v>6.17</v>
      </c>
      <c r="E211" s="8" t="n">
        <v>41.05</v>
      </c>
      <c r="F211" s="9" t="n">
        <f aca="false">IFERROR((E211-D211)/E211,"")</f>
        <v>0.849695493300853</v>
      </c>
      <c r="G211" s="8" t="n">
        <v>26.47</v>
      </c>
      <c r="H211" s="8" t="n">
        <v>16.34</v>
      </c>
      <c r="I211" s="8" t="n">
        <v>16.05</v>
      </c>
      <c r="J211" s="8" t="n">
        <v>15.45</v>
      </c>
      <c r="K211" s="6" t="s">
        <v>402</v>
      </c>
      <c r="L211" s="6" t="s">
        <v>403</v>
      </c>
    </row>
    <row r="212" customFormat="false" ht="15" hidden="false" customHeight="false" outlineLevel="0" collapsed="false">
      <c r="A212" s="15" t="s">
        <v>289</v>
      </c>
      <c r="B212" s="16" t="s">
        <v>27</v>
      </c>
      <c r="C212" s="15" t="s">
        <v>290</v>
      </c>
      <c r="D212" s="17" t="n">
        <v>6.17</v>
      </c>
      <c r="E212" s="17" t="n">
        <v>44.03</v>
      </c>
      <c r="F212" s="18" t="n">
        <f aca="false">IFERROR((E212-D212)/E212,"")</f>
        <v>0.859868271632978</v>
      </c>
      <c r="G212" s="17" t="n">
        <v>28.57</v>
      </c>
      <c r="H212" s="17" t="n">
        <v>17.99</v>
      </c>
      <c r="I212" s="17" t="n">
        <v>17.66</v>
      </c>
      <c r="J212" s="17" t="n">
        <v>17</v>
      </c>
      <c r="K212" s="15" t="s">
        <v>402</v>
      </c>
      <c r="L212" s="15" t="s">
        <v>403</v>
      </c>
    </row>
    <row r="213" customFormat="false" ht="15" hidden="false" customHeight="false" outlineLevel="0" collapsed="false">
      <c r="A213" s="6" t="s">
        <v>291</v>
      </c>
      <c r="B213" s="7" t="s">
        <v>27</v>
      </c>
      <c r="C213" s="6" t="s">
        <v>292</v>
      </c>
      <c r="D213" s="8" t="n">
        <v>6.17</v>
      </c>
      <c r="E213" s="8" t="n">
        <v>30.22</v>
      </c>
      <c r="F213" s="9" t="n">
        <f aca="false">IFERROR((E213-D213)/E213,"")</f>
        <v>0.795830575777631</v>
      </c>
      <c r="G213" s="8" t="n">
        <v>19.83</v>
      </c>
      <c r="H213" s="8" t="n">
        <v>11.21</v>
      </c>
      <c r="I213" s="8" t="n">
        <v>10.2</v>
      </c>
      <c r="J213" s="8" t="n">
        <v>9.82</v>
      </c>
      <c r="K213" s="6" t="s">
        <v>402</v>
      </c>
      <c r="L213" s="6" t="s">
        <v>403</v>
      </c>
    </row>
    <row r="214" customFormat="false" ht="15" hidden="false" customHeight="false" outlineLevel="0" collapsed="false">
      <c r="A214" s="15" t="s">
        <v>293</v>
      </c>
      <c r="B214" s="16" t="s">
        <v>27</v>
      </c>
      <c r="C214" s="15" t="s">
        <v>294</v>
      </c>
      <c r="D214" s="17" t="n">
        <v>3.72</v>
      </c>
      <c r="E214" s="17" t="n">
        <v>32.24</v>
      </c>
      <c r="F214" s="18" t="n">
        <f aca="false">IFERROR((E214-D214)/E214,"")</f>
        <v>0.884615384615385</v>
      </c>
      <c r="G214" s="17" t="n">
        <v>16</v>
      </c>
      <c r="H214" s="17" t="n">
        <v>11.26</v>
      </c>
      <c r="I214" s="17" t="n">
        <v>9.44</v>
      </c>
      <c r="J214" s="17" t="n">
        <v>9.37</v>
      </c>
      <c r="K214" s="15" t="s">
        <v>402</v>
      </c>
      <c r="L214" s="15" t="s">
        <v>403</v>
      </c>
    </row>
    <row r="215" customFormat="false" ht="15" hidden="false" customHeight="false" outlineLevel="0" collapsed="false">
      <c r="A215" s="6" t="s">
        <v>295</v>
      </c>
      <c r="B215" s="7" t="s">
        <v>27</v>
      </c>
      <c r="C215" s="6" t="s">
        <v>296</v>
      </c>
      <c r="D215" s="8" t="n">
        <v>3.09</v>
      </c>
      <c r="E215" s="8" t="n">
        <v>29.24</v>
      </c>
      <c r="F215" s="9" t="n">
        <f aca="false">IFERROR((E215-D215)/E215,"")</f>
        <v>0.894322845417237</v>
      </c>
      <c r="G215" s="8" t="n">
        <v>18.27</v>
      </c>
      <c r="H215" s="8" t="n">
        <v>12.34</v>
      </c>
      <c r="I215" s="8" t="n">
        <v>10.32</v>
      </c>
      <c r="J215" s="8" t="n">
        <v>10.31</v>
      </c>
      <c r="K215" s="6" t="s">
        <v>402</v>
      </c>
      <c r="L215" s="6" t="s">
        <v>403</v>
      </c>
    </row>
    <row r="216" customFormat="false" ht="15" hidden="false" customHeight="false" outlineLevel="0" collapsed="false">
      <c r="A216" s="15" t="s">
        <v>295</v>
      </c>
      <c r="B216" s="16" t="s">
        <v>23</v>
      </c>
      <c r="C216" s="15" t="s">
        <v>296</v>
      </c>
      <c r="D216" s="17" t="n">
        <v>3.22</v>
      </c>
      <c r="E216" s="17" t="n">
        <v>32.41</v>
      </c>
      <c r="F216" s="18" t="n">
        <f aca="false">IFERROR((E216-D216)/E216,"")</f>
        <v>0.900647948164147</v>
      </c>
      <c r="G216" s="17" t="n">
        <v>20.14</v>
      </c>
      <c r="H216" s="17" t="n">
        <v>15.06</v>
      </c>
      <c r="I216" s="17" t="n">
        <v>11.66</v>
      </c>
      <c r="J216" s="17" t="n">
        <v>11.65</v>
      </c>
      <c r="K216" s="15" t="s">
        <v>404</v>
      </c>
      <c r="L216" s="15" t="s">
        <v>403</v>
      </c>
    </row>
    <row r="217" customFormat="false" ht="15" hidden="false" customHeight="false" outlineLevel="0" collapsed="false">
      <c r="A217" s="6" t="s">
        <v>295</v>
      </c>
      <c r="B217" s="7" t="s">
        <v>25</v>
      </c>
      <c r="C217" s="6" t="s">
        <v>296</v>
      </c>
      <c r="D217" s="8" t="n">
        <v>3.54</v>
      </c>
      <c r="E217" s="8" t="n">
        <v>39.67</v>
      </c>
      <c r="F217" s="9" t="n">
        <f aca="false">IFERROR((E217-D217)/E217,"")</f>
        <v>0.91076380136123</v>
      </c>
      <c r="G217" s="8" t="n">
        <v>24.55</v>
      </c>
      <c r="H217" s="8" t="n">
        <v>19.78</v>
      </c>
      <c r="I217" s="8" t="n">
        <v>15.68</v>
      </c>
      <c r="J217" s="8" t="n">
        <v>12.55</v>
      </c>
      <c r="K217" s="6" t="s">
        <v>402</v>
      </c>
      <c r="L217" s="6" t="s">
        <v>403</v>
      </c>
    </row>
    <row r="218" customFormat="false" ht="15" hidden="false" customHeight="false" outlineLevel="0" collapsed="false">
      <c r="A218" s="15" t="s">
        <v>297</v>
      </c>
      <c r="B218" s="16" t="s">
        <v>27</v>
      </c>
      <c r="C218" s="15" t="s">
        <v>298</v>
      </c>
      <c r="D218" s="17" t="n">
        <v>3.76</v>
      </c>
      <c r="E218" s="17" t="n">
        <v>32.38</v>
      </c>
      <c r="F218" s="18" t="n">
        <f aca="false">IFERROR((E218-D218)/E218,"")</f>
        <v>0.883878937615812</v>
      </c>
      <c r="G218" s="17" t="n">
        <v>17.14</v>
      </c>
      <c r="H218" s="17" t="n">
        <v>14.45</v>
      </c>
      <c r="I218" s="17" t="n">
        <v>11.8</v>
      </c>
      <c r="J218" s="17" t="n">
        <v>11.1</v>
      </c>
      <c r="K218" s="15" t="s">
        <v>402</v>
      </c>
      <c r="L218" s="15" t="s">
        <v>403</v>
      </c>
    </row>
    <row r="219" customFormat="false" ht="15" hidden="false" customHeight="false" outlineLevel="0" collapsed="false">
      <c r="A219" s="6" t="s">
        <v>299</v>
      </c>
      <c r="B219" s="7" t="s">
        <v>27</v>
      </c>
      <c r="C219" s="6" t="s">
        <v>300</v>
      </c>
      <c r="D219" s="8" t="n">
        <v>6.17</v>
      </c>
      <c r="E219" s="8" t="n">
        <v>41.05</v>
      </c>
      <c r="F219" s="9" t="n">
        <f aca="false">IFERROR((E219-D219)/E219,"")</f>
        <v>0.849695493300853</v>
      </c>
      <c r="G219" s="8" t="n">
        <v>26.47</v>
      </c>
      <c r="H219" s="8" t="n">
        <v>17.65</v>
      </c>
      <c r="I219" s="8" t="n">
        <v>16.05</v>
      </c>
      <c r="J219" s="8" t="n">
        <v>15.45</v>
      </c>
      <c r="K219" s="6" t="s">
        <v>402</v>
      </c>
      <c r="L219" s="6" t="s">
        <v>403</v>
      </c>
    </row>
    <row r="220" customFormat="false" ht="15" hidden="false" customHeight="false" outlineLevel="0" collapsed="false">
      <c r="A220" s="15" t="s">
        <v>301</v>
      </c>
      <c r="B220" s="16" t="s">
        <v>27</v>
      </c>
      <c r="C220" s="15" t="s">
        <v>302</v>
      </c>
      <c r="D220" s="17" t="n">
        <v>6.17</v>
      </c>
      <c r="E220" s="17" t="n">
        <v>41.06</v>
      </c>
      <c r="F220" s="18" t="n">
        <f aca="false">IFERROR((E220-D220)/E220,"")</f>
        <v>0.84973209936678</v>
      </c>
      <c r="G220" s="17" t="n">
        <v>26.63</v>
      </c>
      <c r="H220" s="17" t="n">
        <v>16.35</v>
      </c>
      <c r="I220" s="17" t="n">
        <v>16.06</v>
      </c>
      <c r="J220" s="17" t="n">
        <v>15.45</v>
      </c>
      <c r="K220" s="15" t="s">
        <v>404</v>
      </c>
      <c r="L220" s="15" t="s">
        <v>403</v>
      </c>
    </row>
    <row r="221" customFormat="false" ht="15" hidden="false" customHeight="false" outlineLevel="0" collapsed="false">
      <c r="A221" s="6" t="s">
        <v>303</v>
      </c>
      <c r="B221" s="7" t="s">
        <v>27</v>
      </c>
      <c r="C221" s="6" t="s">
        <v>304</v>
      </c>
      <c r="D221" s="8" t="n">
        <v>6.17</v>
      </c>
      <c r="E221" s="8" t="n">
        <v>41.05</v>
      </c>
      <c r="F221" s="9" t="n">
        <f aca="false">IFERROR((E221-D221)/E221,"")</f>
        <v>0.849695493300853</v>
      </c>
      <c r="G221" s="8" t="n">
        <v>26.47</v>
      </c>
      <c r="H221" s="8" t="n">
        <v>16.51</v>
      </c>
      <c r="I221" s="8" t="n">
        <v>16.05</v>
      </c>
      <c r="J221" s="8" t="n">
        <v>15.45</v>
      </c>
      <c r="K221" s="6" t="s">
        <v>402</v>
      </c>
      <c r="L221" s="6" t="s">
        <v>403</v>
      </c>
    </row>
    <row r="222" customFormat="false" ht="15" hidden="false" customHeight="false" outlineLevel="0" collapsed="false">
      <c r="A222" s="15" t="s">
        <v>305</v>
      </c>
      <c r="B222" s="16" t="s">
        <v>27</v>
      </c>
      <c r="C222" s="15" t="s">
        <v>306</v>
      </c>
      <c r="D222" s="17" t="n">
        <v>2.46</v>
      </c>
      <c r="E222" s="17" t="n">
        <v>36.12</v>
      </c>
      <c r="F222" s="18" t="n">
        <f aca="false">IFERROR((E222-D222)/E222,"")</f>
        <v>0.931893687707641</v>
      </c>
      <c r="G222" s="17" t="n">
        <v>23.03</v>
      </c>
      <c r="H222" s="17" t="n">
        <v>14.84</v>
      </c>
      <c r="I222" s="17" t="n">
        <v>13.38</v>
      </c>
      <c r="J222" s="17" t="n">
        <v>12.88</v>
      </c>
      <c r="K222" s="15" t="s">
        <v>402</v>
      </c>
      <c r="L222" s="15" t="s">
        <v>403</v>
      </c>
    </row>
    <row r="223" customFormat="false" ht="15" hidden="false" customHeight="false" outlineLevel="0" collapsed="false">
      <c r="A223" s="6" t="s">
        <v>305</v>
      </c>
      <c r="B223" s="7" t="s">
        <v>23</v>
      </c>
      <c r="C223" s="6" t="s">
        <v>306</v>
      </c>
      <c r="D223" s="8" t="n">
        <v>3.6</v>
      </c>
      <c r="E223" s="8" t="n">
        <v>39.33</v>
      </c>
      <c r="F223" s="9" t="n">
        <f aca="false">IFERROR((E223-D223)/E223,"")</f>
        <v>0.908466819221968</v>
      </c>
      <c r="G223" s="8" t="n">
        <v>25.26</v>
      </c>
      <c r="H223" s="8" t="n">
        <v>16.79</v>
      </c>
      <c r="I223" s="8" t="n">
        <v>15.12</v>
      </c>
      <c r="J223" s="8" t="n">
        <v>14.56</v>
      </c>
      <c r="K223" s="6" t="s">
        <v>402</v>
      </c>
      <c r="L223" s="6" t="s">
        <v>403</v>
      </c>
    </row>
    <row r="224" customFormat="false" ht="15" hidden="false" customHeight="false" outlineLevel="0" collapsed="false">
      <c r="A224" s="15" t="s">
        <v>305</v>
      </c>
      <c r="B224" s="16" t="s">
        <v>25</v>
      </c>
      <c r="C224" s="15" t="s">
        <v>306</v>
      </c>
      <c r="D224" s="17" t="n">
        <v>3.96</v>
      </c>
      <c r="E224" s="17" t="n">
        <v>36.24</v>
      </c>
      <c r="F224" s="18" t="n">
        <f aca="false">IFERROR((E224-D224)/E224,"")</f>
        <v>0.890728476821192</v>
      </c>
      <c r="G224" s="17" t="n">
        <v>23.53</v>
      </c>
      <c r="H224" s="17" t="n">
        <v>17.69</v>
      </c>
      <c r="I224" s="17" t="n">
        <v>15.93</v>
      </c>
      <c r="J224" s="17" t="n">
        <v>15.34</v>
      </c>
      <c r="K224" s="15" t="s">
        <v>402</v>
      </c>
      <c r="L224" s="15" t="s">
        <v>403</v>
      </c>
    </row>
    <row r="225" customFormat="false" ht="15" hidden="false" customHeight="false" outlineLevel="0" collapsed="false">
      <c r="A225" s="6" t="s">
        <v>307</v>
      </c>
      <c r="B225" s="7" t="s">
        <v>27</v>
      </c>
      <c r="C225" s="6" t="s">
        <v>308</v>
      </c>
      <c r="D225" s="8" t="n">
        <v>6.17</v>
      </c>
      <c r="E225" s="8" t="n">
        <v>41.05</v>
      </c>
      <c r="F225" s="9" t="n">
        <f aca="false">IFERROR((E225-D225)/E225,"")</f>
        <v>0.849695493300853</v>
      </c>
      <c r="G225" s="8" t="n">
        <v>26.47</v>
      </c>
      <c r="H225" s="8" t="n">
        <v>17.65</v>
      </c>
      <c r="I225" s="8" t="n">
        <v>16.05</v>
      </c>
      <c r="J225" s="8" t="n">
        <v>15.45</v>
      </c>
      <c r="K225" s="6" t="s">
        <v>402</v>
      </c>
      <c r="L225" s="6" t="s">
        <v>403</v>
      </c>
    </row>
    <row r="226" customFormat="false" ht="15" hidden="false" customHeight="false" outlineLevel="0" collapsed="false">
      <c r="A226" s="15" t="s">
        <v>309</v>
      </c>
      <c r="B226" s="16" t="s">
        <v>27</v>
      </c>
      <c r="C226" s="15" t="s">
        <v>310</v>
      </c>
      <c r="D226" s="17" t="n">
        <v>6.17</v>
      </c>
      <c r="E226" s="17" t="n">
        <v>44.1</v>
      </c>
      <c r="F226" s="18" t="n">
        <f aca="false">IFERROR((E226-D226)/E226,"")</f>
        <v>0.860090702947846</v>
      </c>
      <c r="G226" s="17" t="n">
        <v>28.6</v>
      </c>
      <c r="H226" s="17" t="n">
        <v>19.48</v>
      </c>
      <c r="I226" s="17" t="n">
        <v>17.69</v>
      </c>
      <c r="J226" s="17" t="n">
        <v>17.04</v>
      </c>
      <c r="K226" s="15" t="s">
        <v>402</v>
      </c>
      <c r="L226" s="15" t="s">
        <v>403</v>
      </c>
    </row>
    <row r="227" customFormat="false" ht="15" hidden="false" customHeight="false" outlineLevel="0" collapsed="false">
      <c r="A227" s="6" t="s">
        <v>311</v>
      </c>
      <c r="B227" s="7" t="s">
        <v>27</v>
      </c>
      <c r="C227" s="6" t="s">
        <v>312</v>
      </c>
      <c r="D227" s="8" t="n">
        <v>3.05</v>
      </c>
      <c r="E227" s="8" t="n">
        <v>34.25</v>
      </c>
      <c r="F227" s="9" t="n">
        <f aca="false">IFERROR((E227-D227)/E227,"")</f>
        <v>0.910948905109489</v>
      </c>
      <c r="G227" s="8" t="n">
        <v>21.71</v>
      </c>
      <c r="H227" s="8" t="n">
        <v>13.62</v>
      </c>
      <c r="I227" s="8" t="n">
        <v>12.38</v>
      </c>
      <c r="J227" s="8" t="n">
        <v>11.91</v>
      </c>
      <c r="K227" s="6" t="s">
        <v>402</v>
      </c>
      <c r="L227" s="6" t="s">
        <v>403</v>
      </c>
    </row>
    <row r="228" customFormat="false" ht="15" hidden="false" customHeight="false" outlineLevel="0" collapsed="false">
      <c r="A228" s="15" t="s">
        <v>313</v>
      </c>
      <c r="B228" s="16" t="s">
        <v>27</v>
      </c>
      <c r="C228" s="15" t="s">
        <v>314</v>
      </c>
      <c r="D228" s="17" t="n">
        <v>2.91</v>
      </c>
      <c r="E228" s="17" t="n">
        <v>29.85</v>
      </c>
      <c r="F228" s="18" t="n">
        <f aca="false">IFERROR((E228-D228)/E228,"")</f>
        <v>0.90251256281407</v>
      </c>
      <c r="G228" s="17" t="n">
        <v>18.76</v>
      </c>
      <c r="H228" s="17" t="n">
        <v>10.15</v>
      </c>
      <c r="I228" s="17" t="n">
        <v>10.57</v>
      </c>
      <c r="J228" s="17" t="n">
        <v>10.53</v>
      </c>
      <c r="K228" s="15" t="s">
        <v>402</v>
      </c>
      <c r="L228" s="15" t="s">
        <v>403</v>
      </c>
    </row>
    <row r="229" customFormat="false" ht="15" hidden="false" customHeight="false" outlineLevel="0" collapsed="false">
      <c r="A229" s="6" t="s">
        <v>315</v>
      </c>
      <c r="B229" s="7" t="s">
        <v>27</v>
      </c>
      <c r="C229" s="6" t="s">
        <v>316</v>
      </c>
      <c r="D229" s="8" t="n">
        <v>3.64</v>
      </c>
      <c r="E229" s="8" t="n">
        <v>31.92</v>
      </c>
      <c r="F229" s="9" t="n">
        <f aca="false">IFERROR((E229-D229)/E229,"")</f>
        <v>0.885964912280702</v>
      </c>
      <c r="G229" s="8" t="n">
        <v>14.09</v>
      </c>
      <c r="H229" s="8" t="n">
        <v>11.89</v>
      </c>
      <c r="I229" s="8" t="n">
        <v>9.68</v>
      </c>
      <c r="J229" s="8" t="n">
        <v>8.41</v>
      </c>
      <c r="K229" s="6" t="s">
        <v>402</v>
      </c>
      <c r="L229" s="6" t="s">
        <v>403</v>
      </c>
    </row>
    <row r="230" customFormat="false" ht="15" hidden="false" customHeight="false" outlineLevel="0" collapsed="false">
      <c r="A230" s="15" t="s">
        <v>315</v>
      </c>
      <c r="B230" s="16" t="s">
        <v>23</v>
      </c>
      <c r="C230" s="15" t="s">
        <v>316</v>
      </c>
      <c r="D230" s="17" t="n">
        <v>8.71</v>
      </c>
      <c r="E230" s="17" t="n">
        <v>37.37</v>
      </c>
      <c r="F230" s="18" t="n">
        <f aca="false">IFERROR((E230-D230)/E230,"")</f>
        <v>0.766925341182767</v>
      </c>
      <c r="G230" s="17" t="n">
        <v>19.44</v>
      </c>
      <c r="H230" s="17" t="n">
        <v>16.7</v>
      </c>
      <c r="I230" s="17" t="n">
        <v>15.07</v>
      </c>
      <c r="J230" s="17" t="n">
        <v>13.82</v>
      </c>
      <c r="K230" s="15" t="s">
        <v>402</v>
      </c>
      <c r="L230" s="15" t="s">
        <v>403</v>
      </c>
    </row>
    <row r="231" customFormat="false" ht="15" hidden="false" customHeight="false" outlineLevel="0" collapsed="false">
      <c r="A231" s="6" t="s">
        <v>317</v>
      </c>
      <c r="B231" s="7" t="s">
        <v>23</v>
      </c>
      <c r="C231" s="6" t="s">
        <v>318</v>
      </c>
      <c r="D231" s="8" t="n">
        <v>7.81</v>
      </c>
      <c r="E231" s="8" t="n">
        <v>37.65</v>
      </c>
      <c r="F231" s="9" t="n">
        <f aca="false">IFERROR((E231-D231)/E231,"")</f>
        <v>0.792563081009296</v>
      </c>
      <c r="G231" s="8" t="n">
        <v>18.35</v>
      </c>
      <c r="H231" s="8" t="n">
        <v>14.94</v>
      </c>
      <c r="I231" s="8" t="n">
        <v>13.05</v>
      </c>
      <c r="J231" s="8" t="n">
        <v>12.36</v>
      </c>
      <c r="K231" s="6" t="s">
        <v>404</v>
      </c>
      <c r="L231" s="6" t="s">
        <v>403</v>
      </c>
    </row>
    <row r="232" customFormat="false" ht="15" hidden="false" customHeight="false" outlineLevel="0" collapsed="false">
      <c r="A232" s="15" t="s">
        <v>317</v>
      </c>
      <c r="B232" s="16" t="s">
        <v>25</v>
      </c>
      <c r="C232" s="15" t="s">
        <v>318</v>
      </c>
      <c r="D232" s="17" t="n">
        <v>8.59</v>
      </c>
      <c r="E232" s="17" t="n">
        <v>35.57</v>
      </c>
      <c r="F232" s="18" t="n">
        <f aca="false">IFERROR((E232-D232)/E232,"")</f>
        <v>0.758504357604723</v>
      </c>
      <c r="G232" s="17" t="n">
        <v>17.73</v>
      </c>
      <c r="H232" s="17" t="n">
        <v>15.73</v>
      </c>
      <c r="I232" s="17" t="n">
        <v>13.75</v>
      </c>
      <c r="J232" s="17" t="n">
        <v>13.02</v>
      </c>
      <c r="K232" s="15" t="s">
        <v>404</v>
      </c>
      <c r="L232" s="15" t="s">
        <v>403</v>
      </c>
    </row>
    <row r="233" customFormat="false" ht="15" hidden="false" customHeight="false" outlineLevel="0" collapsed="false">
      <c r="A233" s="6" t="s">
        <v>319</v>
      </c>
      <c r="B233" s="7" t="s">
        <v>23</v>
      </c>
      <c r="C233" s="6" t="s">
        <v>320</v>
      </c>
      <c r="D233" s="8" t="n">
        <v>8.84</v>
      </c>
      <c r="E233" s="8" t="n">
        <v>37.37</v>
      </c>
      <c r="F233" s="9" t="n">
        <f aca="false">IFERROR((E233-D233)/E233,"")</f>
        <v>0.763446614931764</v>
      </c>
      <c r="G233" s="8" t="n">
        <v>20.77</v>
      </c>
      <c r="H233" s="8" t="n">
        <v>16.98</v>
      </c>
      <c r="I233" s="8" t="n">
        <v>13.51</v>
      </c>
      <c r="J233" s="8" t="n">
        <v>13.06</v>
      </c>
      <c r="K233" s="6" t="s">
        <v>402</v>
      </c>
      <c r="L233" s="6" t="s">
        <v>403</v>
      </c>
    </row>
    <row r="234" customFormat="false" ht="15" hidden="false" customHeight="false" outlineLevel="0" collapsed="false">
      <c r="A234" s="15" t="s">
        <v>319</v>
      </c>
      <c r="B234" s="16" t="s">
        <v>25</v>
      </c>
      <c r="C234" s="15" t="s">
        <v>320</v>
      </c>
      <c r="D234" s="17" t="n">
        <v>9.72</v>
      </c>
      <c r="E234" s="17" t="n">
        <v>40.43</v>
      </c>
      <c r="F234" s="18" t="n">
        <f aca="false">IFERROR((E234-D234)/E234,"")</f>
        <v>0.759584466979965</v>
      </c>
      <c r="G234" s="17" t="n">
        <v>20.97</v>
      </c>
      <c r="H234" s="17" t="n">
        <v>18.72</v>
      </c>
      <c r="I234" s="17" t="n">
        <v>16.64</v>
      </c>
      <c r="J234" s="17" t="n">
        <v>16.4</v>
      </c>
      <c r="K234" s="15" t="s">
        <v>402</v>
      </c>
      <c r="L234" s="15" t="s">
        <v>403</v>
      </c>
    </row>
    <row r="235" customFormat="false" ht="15" hidden="false" customHeight="false" outlineLevel="0" collapsed="false">
      <c r="A235" s="6" t="s">
        <v>321</v>
      </c>
      <c r="B235" s="7" t="s">
        <v>27</v>
      </c>
      <c r="C235" s="6" t="s">
        <v>322</v>
      </c>
      <c r="D235" s="8" t="n">
        <v>4.97</v>
      </c>
      <c r="E235" s="8" t="n">
        <v>33.97</v>
      </c>
      <c r="F235" s="9" t="n">
        <f aca="false">IFERROR((E235-D235)/E235,"")</f>
        <v>0.853694436267295</v>
      </c>
      <c r="G235" s="8" t="n">
        <v>20.06</v>
      </c>
      <c r="H235" s="8" t="n">
        <v>11.22</v>
      </c>
      <c r="I235" s="8" t="n">
        <v>9.44</v>
      </c>
      <c r="J235" s="8" t="n">
        <v>8.35</v>
      </c>
      <c r="K235" s="6" t="s">
        <v>402</v>
      </c>
      <c r="L235" s="6" t="s">
        <v>403</v>
      </c>
    </row>
    <row r="236" customFormat="false" ht="15" hidden="false" customHeight="false" outlineLevel="0" collapsed="false">
      <c r="A236" s="15" t="s">
        <v>321</v>
      </c>
      <c r="B236" s="16" t="s">
        <v>23</v>
      </c>
      <c r="C236" s="15" t="s">
        <v>323</v>
      </c>
      <c r="D236" s="17" t="n">
        <v>7.09</v>
      </c>
      <c r="E236" s="17" t="n">
        <v>37.37</v>
      </c>
      <c r="F236" s="18" t="n">
        <f aca="false">IFERROR((E236-D236)/E236,"")</f>
        <v>0.81027562215681</v>
      </c>
      <c r="G236" s="17" t="n">
        <v>22.91</v>
      </c>
      <c r="H236" s="17" t="n">
        <v>16.22</v>
      </c>
      <c r="I236" s="17" t="n">
        <v>14.59</v>
      </c>
      <c r="J236" s="17" t="n">
        <v>14.05</v>
      </c>
      <c r="K236" s="15" t="s">
        <v>402</v>
      </c>
      <c r="L236" s="15" t="s">
        <v>403</v>
      </c>
    </row>
    <row r="237" customFormat="false" ht="15" hidden="false" customHeight="false" outlineLevel="0" collapsed="false">
      <c r="A237" s="6" t="s">
        <v>321</v>
      </c>
      <c r="B237" s="7" t="s">
        <v>25</v>
      </c>
      <c r="C237" s="6" t="s">
        <v>323</v>
      </c>
      <c r="D237" s="8" t="n">
        <v>7.8</v>
      </c>
      <c r="E237" s="8" t="n">
        <v>40.43</v>
      </c>
      <c r="F237" s="9" t="n">
        <f aca="false">IFERROR((E237-D237)/E237,"")</f>
        <v>0.807073954983923</v>
      </c>
      <c r="G237" s="8" t="n">
        <v>22.54</v>
      </c>
      <c r="H237" s="8" t="n">
        <v>15.64</v>
      </c>
      <c r="I237" s="8" t="n">
        <v>14.08</v>
      </c>
      <c r="J237" s="8" t="n">
        <v>13.55</v>
      </c>
      <c r="K237" s="6" t="s">
        <v>402</v>
      </c>
      <c r="L237" s="6" t="s">
        <v>403</v>
      </c>
    </row>
    <row r="238" customFormat="false" ht="15" hidden="false" customHeight="false" outlineLevel="0" collapsed="false">
      <c r="A238" s="15" t="s">
        <v>324</v>
      </c>
      <c r="B238" s="16" t="s">
        <v>23</v>
      </c>
      <c r="C238" s="15" t="s">
        <v>325</v>
      </c>
      <c r="D238" s="17" t="n">
        <v>8.46</v>
      </c>
      <c r="E238" s="17" t="n">
        <v>39.99</v>
      </c>
      <c r="F238" s="18" t="n">
        <f aca="false">IFERROR((E238-D238)/E238,"")</f>
        <v>0.788447111777945</v>
      </c>
      <c r="G238" s="17" t="n">
        <v>24.99</v>
      </c>
      <c r="H238" s="17" t="n">
        <v>21.81</v>
      </c>
      <c r="I238" s="17" t="n">
        <v>19.56</v>
      </c>
      <c r="J238" s="17" t="n">
        <v>18.31</v>
      </c>
      <c r="K238" s="15" t="s">
        <v>402</v>
      </c>
      <c r="L238" s="15" t="s">
        <v>403</v>
      </c>
    </row>
    <row r="239" customFormat="false" ht="15" hidden="false" customHeight="false" outlineLevel="0" collapsed="false">
      <c r="A239" s="6" t="s">
        <v>324</v>
      </c>
      <c r="B239" s="7" t="s">
        <v>25</v>
      </c>
      <c r="C239" s="6" t="s">
        <v>325</v>
      </c>
      <c r="D239" s="8" t="n">
        <v>9.31</v>
      </c>
      <c r="E239" s="8" t="n">
        <v>41.56</v>
      </c>
      <c r="F239" s="9" t="n">
        <f aca="false">IFERROR((E239-D239)/E239,"")</f>
        <v>0.775986525505294</v>
      </c>
      <c r="G239" s="8" t="n">
        <v>25.97</v>
      </c>
      <c r="H239" s="8" t="n">
        <v>23.34</v>
      </c>
      <c r="I239" s="8" t="n">
        <v>21.05</v>
      </c>
      <c r="J239" s="8" t="n">
        <v>19.99</v>
      </c>
      <c r="K239" s="6" t="s">
        <v>402</v>
      </c>
      <c r="L239" s="6" t="s">
        <v>403</v>
      </c>
    </row>
    <row r="240" customFormat="false" ht="15" hidden="false" customHeight="false" outlineLevel="0" collapsed="false">
      <c r="A240" s="15" t="s">
        <v>326</v>
      </c>
      <c r="B240" s="16" t="s">
        <v>27</v>
      </c>
      <c r="C240" s="15" t="s">
        <v>327</v>
      </c>
      <c r="D240" s="17" t="n">
        <v>5.86</v>
      </c>
      <c r="E240" s="17" t="n">
        <v>33.97</v>
      </c>
      <c r="F240" s="18" t="n">
        <f aca="false">IFERROR((E240-D240)/E240,"")</f>
        <v>0.827494848395643</v>
      </c>
      <c r="G240" s="17" t="n">
        <v>18.33</v>
      </c>
      <c r="H240" s="17" t="n">
        <v>12.98</v>
      </c>
      <c r="I240" s="17" t="n">
        <v>10.71</v>
      </c>
      <c r="J240" s="17" t="n">
        <v>9.96</v>
      </c>
      <c r="K240" s="15" t="s">
        <v>402</v>
      </c>
      <c r="L240" s="15" t="s">
        <v>403</v>
      </c>
    </row>
    <row r="241" customFormat="false" ht="15" hidden="false" customHeight="false" outlineLevel="0" collapsed="false">
      <c r="A241" s="6" t="s">
        <v>328</v>
      </c>
      <c r="B241" s="7" t="s">
        <v>27</v>
      </c>
      <c r="C241" s="6" t="s">
        <v>329</v>
      </c>
      <c r="D241" s="8" t="n">
        <v>4.7</v>
      </c>
      <c r="E241" s="8" t="n">
        <v>33.97</v>
      </c>
      <c r="F241" s="9" t="n">
        <f aca="false">IFERROR((E241-D241)/E241,"")</f>
        <v>0.861642625846335</v>
      </c>
      <c r="G241" s="8" t="n">
        <v>17.77</v>
      </c>
      <c r="H241" s="8" t="n">
        <v>12.48</v>
      </c>
      <c r="I241" s="8" t="n">
        <v>9.89</v>
      </c>
      <c r="J241" s="8" t="n">
        <v>9.07</v>
      </c>
      <c r="K241" s="6" t="s">
        <v>402</v>
      </c>
      <c r="L241" s="6" t="s">
        <v>403</v>
      </c>
    </row>
    <row r="242" customFormat="false" ht="15" hidden="false" customHeight="false" outlineLevel="0" collapsed="false">
      <c r="A242" s="15" t="s">
        <v>330</v>
      </c>
      <c r="B242" s="16" t="s">
        <v>23</v>
      </c>
      <c r="C242" s="15" t="s">
        <v>331</v>
      </c>
      <c r="D242" s="17" t="n">
        <v>8.46</v>
      </c>
      <c r="E242" s="17" t="n">
        <v>44.44</v>
      </c>
      <c r="F242" s="18" t="n">
        <f aca="false">IFERROR((E242-D242)/E242,"")</f>
        <v>0.80963096309631</v>
      </c>
      <c r="G242" s="17" t="n">
        <v>27.77</v>
      </c>
      <c r="H242" s="17" t="n">
        <v>24.76</v>
      </c>
      <c r="I242" s="17" t="n">
        <v>22.62</v>
      </c>
      <c r="J242" s="17" t="n">
        <v>21.09</v>
      </c>
      <c r="K242" s="15" t="s">
        <v>402</v>
      </c>
      <c r="L242" s="15" t="s">
        <v>403</v>
      </c>
    </row>
    <row r="243" customFormat="false" ht="15" hidden="false" customHeight="false" outlineLevel="0" collapsed="false">
      <c r="A243" s="6" t="s">
        <v>330</v>
      </c>
      <c r="B243" s="7" t="s">
        <v>25</v>
      </c>
      <c r="C243" s="6" t="s">
        <v>331</v>
      </c>
      <c r="D243" s="8" t="n">
        <v>9.31</v>
      </c>
      <c r="E243" s="8" t="n">
        <v>46.27</v>
      </c>
      <c r="F243" s="9" t="n">
        <f aca="false">IFERROR((E243-D243)/E243,"")</f>
        <v>0.798789712556732</v>
      </c>
      <c r="G243" s="8" t="n">
        <v>28.8</v>
      </c>
      <c r="H243" s="8" t="n">
        <v>25.86</v>
      </c>
      <c r="I243" s="8" t="n">
        <v>23.5</v>
      </c>
      <c r="J243" s="8" t="n">
        <v>22.42</v>
      </c>
      <c r="K243" s="6" t="s">
        <v>402</v>
      </c>
      <c r="L243" s="6" t="s">
        <v>403</v>
      </c>
    </row>
    <row r="244" customFormat="false" ht="15" hidden="false" customHeight="false" outlineLevel="0" collapsed="false">
      <c r="A244" s="15" t="s">
        <v>332</v>
      </c>
      <c r="B244" s="16" t="s">
        <v>23</v>
      </c>
      <c r="C244" s="15" t="s">
        <v>333</v>
      </c>
      <c r="D244" s="17" t="n">
        <v>8.46</v>
      </c>
      <c r="E244" s="17" t="n">
        <v>46.67</v>
      </c>
      <c r="F244" s="18" t="n">
        <f aca="false">IFERROR((E244-D244)/E244,"")</f>
        <v>0.818727233769017</v>
      </c>
      <c r="G244" s="17" t="n">
        <v>28.88</v>
      </c>
      <c r="H244" s="17" t="n">
        <v>25.57</v>
      </c>
      <c r="I244" s="17" t="n">
        <v>23.16</v>
      </c>
      <c r="J244" s="17" t="n">
        <v>21.72</v>
      </c>
      <c r="K244" s="15" t="s">
        <v>402</v>
      </c>
      <c r="L244" s="15" t="s">
        <v>403</v>
      </c>
    </row>
    <row r="245" customFormat="false" ht="15" hidden="false" customHeight="false" outlineLevel="0" collapsed="false">
      <c r="A245" s="6" t="s">
        <v>332</v>
      </c>
      <c r="B245" s="7" t="s">
        <v>25</v>
      </c>
      <c r="C245" s="6" t="s">
        <v>333</v>
      </c>
      <c r="D245" s="8" t="n">
        <v>9.31</v>
      </c>
      <c r="E245" s="8" t="n">
        <v>47.23</v>
      </c>
      <c r="F245" s="9" t="n">
        <f aca="false">IFERROR((E245-D245)/E245,"")</f>
        <v>0.802879525725175</v>
      </c>
      <c r="G245" s="8" t="n">
        <v>29.74</v>
      </c>
      <c r="H245" s="8" t="n">
        <v>26.55</v>
      </c>
      <c r="I245" s="8" t="n">
        <v>24.26</v>
      </c>
      <c r="J245" s="8" t="n">
        <v>22.97</v>
      </c>
      <c r="K245" s="6" t="s">
        <v>402</v>
      </c>
      <c r="L245" s="6" t="s">
        <v>403</v>
      </c>
    </row>
    <row r="246" customFormat="false" ht="15" hidden="false" customHeight="false" outlineLevel="0" collapsed="false">
      <c r="A246" s="15" t="s">
        <v>334</v>
      </c>
      <c r="B246" s="16" t="s">
        <v>27</v>
      </c>
      <c r="C246" s="15" t="s">
        <v>335</v>
      </c>
      <c r="D246" s="17" t="n">
        <v>4.15</v>
      </c>
      <c r="E246" s="17" t="n">
        <v>38.61</v>
      </c>
      <c r="F246" s="18" t="n">
        <f aca="false">IFERROR((E246-D246)/E246,"")</f>
        <v>0.892514892514893</v>
      </c>
      <c r="G246" s="17" t="n">
        <v>19.49</v>
      </c>
      <c r="H246" s="17" t="n">
        <v>14.24</v>
      </c>
      <c r="I246" s="17" t="n">
        <v>13.85</v>
      </c>
      <c r="J246" s="17" t="n">
        <v>13.14</v>
      </c>
      <c r="K246" s="15" t="s">
        <v>404</v>
      </c>
      <c r="L246" s="15" t="s">
        <v>403</v>
      </c>
    </row>
    <row r="247" customFormat="false" ht="15" hidden="false" customHeight="false" outlineLevel="0" collapsed="false">
      <c r="A247" s="6" t="s">
        <v>336</v>
      </c>
      <c r="B247" s="7" t="s">
        <v>27</v>
      </c>
      <c r="C247" s="6" t="s">
        <v>337</v>
      </c>
      <c r="D247" s="8" t="n">
        <v>4.21</v>
      </c>
      <c r="E247" s="8" t="n">
        <v>31.92</v>
      </c>
      <c r="F247" s="9" t="n">
        <f aca="false">IFERROR((E247-D247)/E247,"")</f>
        <v>0.868107769423559</v>
      </c>
      <c r="G247" s="8" t="n">
        <v>15.65</v>
      </c>
      <c r="H247" s="8" t="n">
        <v>11.16</v>
      </c>
      <c r="I247" s="8" t="n">
        <v>8.95</v>
      </c>
      <c r="J247" s="8" t="n">
        <v>8.07</v>
      </c>
      <c r="K247" s="6" t="s">
        <v>402</v>
      </c>
      <c r="L247" s="6" t="s">
        <v>403</v>
      </c>
    </row>
    <row r="248" customFormat="false" ht="15" hidden="false" customHeight="false" outlineLevel="0" collapsed="false">
      <c r="A248" s="15" t="s">
        <v>336</v>
      </c>
      <c r="B248" s="16" t="s">
        <v>23</v>
      </c>
      <c r="C248" s="15" t="s">
        <v>337</v>
      </c>
      <c r="D248" s="17" t="n">
        <v>5.06</v>
      </c>
      <c r="E248" s="17" t="n">
        <v>37.37</v>
      </c>
      <c r="F248" s="18" t="n">
        <f aca="false">IFERROR((E248-D248)/E248,"")</f>
        <v>0.864597270537865</v>
      </c>
      <c r="G248" s="17" t="n">
        <v>19.44</v>
      </c>
      <c r="H248" s="17" t="n">
        <v>15.35</v>
      </c>
      <c r="I248" s="17" t="n">
        <v>12.92</v>
      </c>
      <c r="J248" s="17" t="n">
        <v>12.11</v>
      </c>
      <c r="K248" s="15" t="s">
        <v>402</v>
      </c>
      <c r="L248" s="15" t="s">
        <v>403</v>
      </c>
    </row>
    <row r="249" customFormat="false" ht="15" hidden="false" customHeight="false" outlineLevel="0" collapsed="false">
      <c r="A249" s="6" t="s">
        <v>336</v>
      </c>
      <c r="B249" s="7" t="s">
        <v>25</v>
      </c>
      <c r="C249" s="6" t="s">
        <v>337</v>
      </c>
      <c r="D249" s="8" t="n">
        <v>5.56</v>
      </c>
      <c r="E249" s="8" t="n">
        <v>40.43</v>
      </c>
      <c r="F249" s="9" t="n">
        <f aca="false">IFERROR((E249-D249)/E249,"")</f>
        <v>0.862478357655206</v>
      </c>
      <c r="G249" s="8" t="n">
        <v>18.89</v>
      </c>
      <c r="H249" s="8" t="n">
        <v>16.02</v>
      </c>
      <c r="I249" s="8" t="n">
        <v>14.2</v>
      </c>
      <c r="J249" s="8" t="n">
        <v>13.81</v>
      </c>
      <c r="K249" s="6" t="s">
        <v>402</v>
      </c>
      <c r="L249" s="6" t="s">
        <v>403</v>
      </c>
    </row>
    <row r="250" customFormat="false" ht="15" hidden="false" customHeight="false" outlineLevel="0" collapsed="false">
      <c r="A250" s="15" t="s">
        <v>338</v>
      </c>
      <c r="B250" s="16" t="s">
        <v>27</v>
      </c>
      <c r="C250" s="15" t="s">
        <v>339</v>
      </c>
      <c r="D250" s="17" t="n">
        <v>5.41</v>
      </c>
      <c r="E250" s="17" t="n">
        <v>33.97</v>
      </c>
      <c r="F250" s="18" t="n">
        <f aca="false">IFERROR((E250-D250)/E250,"")</f>
        <v>0.840741831027377</v>
      </c>
      <c r="G250" s="17" t="n">
        <v>16.65</v>
      </c>
      <c r="H250" s="17" t="n">
        <v>12.75</v>
      </c>
      <c r="I250" s="17" t="n">
        <v>11.01</v>
      </c>
      <c r="J250" s="17" t="n">
        <v>9.45</v>
      </c>
      <c r="K250" s="15" t="s">
        <v>402</v>
      </c>
      <c r="L250" s="15" t="s">
        <v>403</v>
      </c>
    </row>
    <row r="251" customFormat="false" ht="15" hidden="false" customHeight="false" outlineLevel="0" collapsed="false">
      <c r="A251" s="6" t="s">
        <v>340</v>
      </c>
      <c r="B251" s="7" t="s">
        <v>27</v>
      </c>
      <c r="C251" s="6" t="s">
        <v>341</v>
      </c>
      <c r="D251" s="8" t="n">
        <v>5.17</v>
      </c>
      <c r="E251" s="8" t="n">
        <v>34.44</v>
      </c>
      <c r="F251" s="9" t="n">
        <f aca="false">IFERROR((E251-D251)/E251,"")</f>
        <v>0.849883855981417</v>
      </c>
      <c r="G251" s="8" t="n">
        <v>18.88</v>
      </c>
      <c r="H251" s="8" t="n">
        <v>12.14</v>
      </c>
      <c r="I251" s="8" t="n">
        <v>9.89</v>
      </c>
      <c r="J251" s="8" t="n">
        <v>8.07</v>
      </c>
      <c r="K251" s="6" t="s">
        <v>402</v>
      </c>
      <c r="L251" s="6" t="s">
        <v>403</v>
      </c>
    </row>
    <row r="252" customFormat="false" ht="15" hidden="false" customHeight="false" outlineLevel="0" collapsed="false">
      <c r="A252" s="15" t="s">
        <v>340</v>
      </c>
      <c r="B252" s="16" t="s">
        <v>23</v>
      </c>
      <c r="C252" s="15" t="s">
        <v>341</v>
      </c>
      <c r="D252" s="17" t="n">
        <v>6.26</v>
      </c>
      <c r="E252" s="17" t="n">
        <v>39.99</v>
      </c>
      <c r="F252" s="18" t="n">
        <f aca="false">IFERROR((E252-D252)/E252,"")</f>
        <v>0.843460865216304</v>
      </c>
      <c r="G252" s="17" t="n">
        <v>22.22</v>
      </c>
      <c r="H252" s="17" t="n">
        <v>15.67</v>
      </c>
      <c r="I252" s="17" t="n">
        <v>13.37</v>
      </c>
      <c r="J252" s="17" t="n">
        <v>11.66</v>
      </c>
      <c r="K252" s="15" t="s">
        <v>402</v>
      </c>
      <c r="L252" s="15" t="s">
        <v>403</v>
      </c>
    </row>
    <row r="253" customFormat="false" ht="15" hidden="false" customHeight="false" outlineLevel="0" collapsed="false">
      <c r="A253" s="6" t="s">
        <v>340</v>
      </c>
      <c r="B253" s="7" t="s">
        <v>25</v>
      </c>
      <c r="C253" s="6" t="s">
        <v>341</v>
      </c>
      <c r="D253" s="8" t="n">
        <v>6.89</v>
      </c>
      <c r="E253" s="8" t="n">
        <v>40.43</v>
      </c>
      <c r="F253" s="9" t="n">
        <f aca="false">IFERROR((E253-D253)/E253,"")</f>
        <v>0.829581993569132</v>
      </c>
      <c r="G253" s="8" t="n">
        <v>23.14</v>
      </c>
      <c r="H253" s="8" t="n">
        <v>16.02</v>
      </c>
      <c r="I253" s="8" t="n">
        <v>15.26</v>
      </c>
      <c r="J253" s="8" t="n">
        <v>13.73</v>
      </c>
      <c r="K253" s="6" t="s">
        <v>402</v>
      </c>
      <c r="L253" s="6" t="s">
        <v>403</v>
      </c>
    </row>
    <row r="254" customFormat="false" ht="15" hidden="false" customHeight="false" outlineLevel="0" collapsed="false">
      <c r="A254" s="15" t="s">
        <v>342</v>
      </c>
      <c r="B254" s="16" t="s">
        <v>27</v>
      </c>
      <c r="C254" s="15" t="s">
        <v>343</v>
      </c>
      <c r="D254" s="17" t="n">
        <v>6</v>
      </c>
      <c r="E254" s="17" t="n">
        <v>39.68</v>
      </c>
      <c r="F254" s="18" t="n">
        <f aca="false">IFERROR((E254-D254)/E254,"")</f>
        <v>0.848790322580645</v>
      </c>
      <c r="G254" s="17" t="n">
        <v>24.02</v>
      </c>
      <c r="H254" s="17" t="n">
        <v>19.59</v>
      </c>
      <c r="I254" s="17" t="n">
        <v>14.64</v>
      </c>
      <c r="J254" s="17" t="n">
        <v>14.07</v>
      </c>
      <c r="K254" s="15" t="s">
        <v>402</v>
      </c>
      <c r="L254" s="15" t="s">
        <v>403</v>
      </c>
    </row>
    <row r="255" customFormat="false" ht="15" hidden="false" customHeight="false" outlineLevel="0" collapsed="false">
      <c r="A255" s="6" t="s">
        <v>344</v>
      </c>
      <c r="B255" s="7" t="s">
        <v>27</v>
      </c>
      <c r="C255" s="6" t="s">
        <v>345</v>
      </c>
      <c r="D255" s="8" t="n">
        <v>5.7</v>
      </c>
      <c r="E255" s="8" t="n">
        <v>31.92</v>
      </c>
      <c r="F255" s="9" t="n">
        <f aca="false">IFERROR((E255-D255)/E255,"")</f>
        <v>0.821428571428572</v>
      </c>
      <c r="G255" s="8" t="n">
        <v>18.79</v>
      </c>
      <c r="H255" s="8" t="n">
        <v>13.45</v>
      </c>
      <c r="I255" s="8" t="n">
        <v>11.12</v>
      </c>
      <c r="J255" s="8" t="n">
        <v>9.79</v>
      </c>
      <c r="K255" s="6" t="s">
        <v>402</v>
      </c>
      <c r="L255" s="6" t="s">
        <v>403</v>
      </c>
    </row>
    <row r="256" customFormat="false" ht="15" hidden="false" customHeight="false" outlineLevel="0" collapsed="false">
      <c r="A256" s="15" t="s">
        <v>346</v>
      </c>
      <c r="B256" s="16" t="s">
        <v>27</v>
      </c>
      <c r="C256" s="15" t="s">
        <v>347</v>
      </c>
      <c r="D256" s="17" t="n">
        <v>5.35</v>
      </c>
      <c r="E256" s="17" t="n">
        <v>31.92</v>
      </c>
      <c r="F256" s="18" t="n">
        <f aca="false">IFERROR((E256-D256)/E256,"")</f>
        <v>0.832393483709273</v>
      </c>
      <c r="G256" s="17" t="n">
        <v>17.74</v>
      </c>
      <c r="H256" s="17" t="n">
        <v>13.91</v>
      </c>
      <c r="I256" s="17" t="n">
        <v>10.82</v>
      </c>
      <c r="J256" s="17" t="n">
        <v>8.83</v>
      </c>
      <c r="K256" s="15" t="s">
        <v>402</v>
      </c>
      <c r="L256" s="15" t="s">
        <v>403</v>
      </c>
    </row>
    <row r="257" customFormat="false" ht="15" hidden="false" customHeight="false" outlineLevel="0" collapsed="false">
      <c r="A257" s="6" t="s">
        <v>348</v>
      </c>
      <c r="B257" s="7" t="s">
        <v>27</v>
      </c>
      <c r="C257" s="6" t="s">
        <v>349</v>
      </c>
      <c r="D257" s="8" t="n">
        <v>4.86</v>
      </c>
      <c r="E257" s="8" t="n">
        <v>33.97</v>
      </c>
      <c r="F257" s="9" t="n">
        <f aca="false">IFERROR((E257-D257)/E257,"")</f>
        <v>0.856932587577274</v>
      </c>
      <c r="G257" s="8" t="n">
        <v>19.44</v>
      </c>
      <c r="H257" s="8" t="n">
        <v>11.47</v>
      </c>
      <c r="I257" s="8" t="n">
        <v>9.89</v>
      </c>
      <c r="J257" s="8" t="n">
        <v>8.07</v>
      </c>
      <c r="K257" s="6" t="s">
        <v>402</v>
      </c>
      <c r="L257" s="6" t="s">
        <v>403</v>
      </c>
    </row>
    <row r="258" customFormat="false" ht="15" hidden="false" customHeight="false" outlineLevel="0" collapsed="false">
      <c r="A258" s="15" t="s">
        <v>348</v>
      </c>
      <c r="B258" s="16" t="s">
        <v>23</v>
      </c>
      <c r="C258" s="15" t="s">
        <v>349</v>
      </c>
      <c r="D258" s="17" t="n">
        <v>5.96</v>
      </c>
      <c r="E258" s="17" t="n">
        <v>37.37</v>
      </c>
      <c r="F258" s="18" t="n">
        <f aca="false">IFERROR((E258-D258)/E258,"")</f>
        <v>0.840513781107841</v>
      </c>
      <c r="G258" s="17" t="n">
        <v>21.1</v>
      </c>
      <c r="H258" s="17" t="n">
        <v>13.6</v>
      </c>
      <c r="I258" s="17" t="n">
        <v>11.47</v>
      </c>
      <c r="J258" s="17" t="n">
        <v>11.21</v>
      </c>
      <c r="K258" s="15" t="s">
        <v>402</v>
      </c>
      <c r="L258" s="15" t="s">
        <v>403</v>
      </c>
    </row>
    <row r="259" customFormat="false" ht="15" hidden="false" customHeight="false" outlineLevel="0" collapsed="false">
      <c r="A259" s="6" t="s">
        <v>348</v>
      </c>
      <c r="B259" s="7" t="s">
        <v>25</v>
      </c>
      <c r="C259" s="6" t="s">
        <v>349</v>
      </c>
      <c r="D259" s="8" t="n">
        <v>6.55</v>
      </c>
      <c r="E259" s="8" t="n">
        <v>40.43</v>
      </c>
      <c r="F259" s="9" t="n">
        <f aca="false">IFERROR((E259-D259)/E259,"")</f>
        <v>0.837991590403166</v>
      </c>
      <c r="G259" s="8" t="n">
        <v>21.24</v>
      </c>
      <c r="H259" s="8" t="n">
        <v>13.05</v>
      </c>
      <c r="I259" s="8" t="n">
        <v>11.33</v>
      </c>
      <c r="J259" s="8" t="n">
        <v>11.82</v>
      </c>
      <c r="K259" s="6" t="s">
        <v>402</v>
      </c>
      <c r="L259" s="6" t="s">
        <v>403</v>
      </c>
    </row>
    <row r="260" customFormat="false" ht="15" hidden="false" customHeight="false" outlineLevel="0" collapsed="false">
      <c r="A260" s="15" t="s">
        <v>350</v>
      </c>
      <c r="B260" s="16" t="s">
        <v>27</v>
      </c>
      <c r="C260" s="15" t="s">
        <v>351</v>
      </c>
      <c r="D260" s="17" t="n">
        <v>5.05</v>
      </c>
      <c r="E260" s="17" t="n">
        <v>34.44</v>
      </c>
      <c r="F260" s="18" t="n">
        <f aca="false">IFERROR((E260-D260)/E260,"")</f>
        <v>0.853368176538908</v>
      </c>
      <c r="G260" s="17" t="n">
        <v>21.1</v>
      </c>
      <c r="H260" s="17" t="n">
        <v>15.82</v>
      </c>
      <c r="I260" s="17" t="n">
        <v>12.96</v>
      </c>
      <c r="J260" s="17" t="n">
        <v>12.84</v>
      </c>
      <c r="K260" s="15" t="s">
        <v>402</v>
      </c>
      <c r="L260" s="15" t="s">
        <v>403</v>
      </c>
    </row>
    <row r="261" customFormat="false" ht="15" hidden="false" customHeight="false" outlineLevel="0" collapsed="false">
      <c r="A261" s="6" t="s">
        <v>352</v>
      </c>
      <c r="B261" s="7" t="s">
        <v>27</v>
      </c>
      <c r="C261" s="6" t="s">
        <v>353</v>
      </c>
      <c r="D261" s="8" t="n">
        <v>5.35</v>
      </c>
      <c r="E261" s="8" t="n">
        <v>36.67</v>
      </c>
      <c r="F261" s="9" t="n">
        <f aca="false">IFERROR((E261-D261)/E261,"")</f>
        <v>0.854104172347968</v>
      </c>
      <c r="G261" s="8" t="n">
        <v>20.55</v>
      </c>
      <c r="H261" s="8" t="n">
        <v>11.93</v>
      </c>
      <c r="I261" s="8" t="n">
        <v>9.16</v>
      </c>
      <c r="J261" s="8" t="n">
        <v>9.12</v>
      </c>
      <c r="K261" s="6" t="s">
        <v>402</v>
      </c>
      <c r="L261" s="6" t="s">
        <v>403</v>
      </c>
    </row>
    <row r="262" customFormat="false" ht="15" hidden="false" customHeight="false" outlineLevel="0" collapsed="false">
      <c r="A262" s="15" t="s">
        <v>352</v>
      </c>
      <c r="B262" s="16" t="s">
        <v>23</v>
      </c>
      <c r="C262" s="15" t="s">
        <v>353</v>
      </c>
      <c r="D262" s="17" t="n">
        <v>8.08</v>
      </c>
      <c r="E262" s="17" t="n">
        <v>41.1</v>
      </c>
      <c r="F262" s="18" t="n">
        <f aca="false">IFERROR((E262-D262)/E262,"")</f>
        <v>0.803406326034063</v>
      </c>
      <c r="G262" s="17" t="n">
        <v>22.22</v>
      </c>
      <c r="H262" s="17" t="n">
        <v>17.23</v>
      </c>
      <c r="I262" s="17" t="n">
        <v>14.54</v>
      </c>
      <c r="J262" s="17" t="n">
        <v>13.37</v>
      </c>
      <c r="K262" s="15" t="s">
        <v>402</v>
      </c>
      <c r="L262" s="15" t="s">
        <v>403</v>
      </c>
    </row>
    <row r="263" customFormat="false" ht="15" hidden="false" customHeight="false" outlineLevel="0" collapsed="false">
      <c r="A263" s="6" t="s">
        <v>352</v>
      </c>
      <c r="B263" s="7" t="s">
        <v>25</v>
      </c>
      <c r="C263" s="6" t="s">
        <v>353</v>
      </c>
      <c r="D263" s="8" t="n">
        <v>8.89</v>
      </c>
      <c r="E263" s="8" t="n">
        <v>40.43</v>
      </c>
      <c r="F263" s="9" t="n">
        <f aca="false">IFERROR((E263-D263)/E263,"")</f>
        <v>0.780113776898343</v>
      </c>
      <c r="G263" s="8" t="n">
        <v>23.6</v>
      </c>
      <c r="H263" s="8" t="n">
        <v>18.98</v>
      </c>
      <c r="I263" s="8" t="n">
        <v>16.63</v>
      </c>
      <c r="J263" s="8" t="n">
        <v>15.64</v>
      </c>
      <c r="K263" s="6" t="s">
        <v>402</v>
      </c>
      <c r="L263" s="6" t="s">
        <v>403</v>
      </c>
    </row>
    <row r="264" customFormat="false" ht="15" hidden="false" customHeight="false" outlineLevel="0" collapsed="false">
      <c r="A264" s="15" t="s">
        <v>354</v>
      </c>
      <c r="B264" s="16" t="s">
        <v>27</v>
      </c>
      <c r="C264" s="15" t="s">
        <v>355</v>
      </c>
      <c r="D264" s="17" t="n">
        <v>5.58</v>
      </c>
      <c r="E264" s="17" t="n">
        <v>33.97</v>
      </c>
      <c r="F264" s="18" t="n">
        <f aca="false">IFERROR((E264-D264)/E264,"")</f>
        <v>0.8357374153665</v>
      </c>
      <c r="G264" s="17" t="n">
        <v>16.65</v>
      </c>
      <c r="H264" s="17" t="n">
        <v>12.24</v>
      </c>
      <c r="I264" s="17" t="n">
        <v>9.89</v>
      </c>
      <c r="J264" s="17" t="n">
        <v>9.16</v>
      </c>
      <c r="K264" s="15" t="s">
        <v>402</v>
      </c>
      <c r="L264" s="15" t="s">
        <v>403</v>
      </c>
    </row>
    <row r="265" customFormat="false" ht="15" hidden="false" customHeight="false" outlineLevel="0" collapsed="false">
      <c r="A265" s="6" t="s">
        <v>354</v>
      </c>
      <c r="B265" s="7" t="s">
        <v>23</v>
      </c>
      <c r="C265" s="6" t="s">
        <v>355</v>
      </c>
      <c r="D265" s="8" t="n">
        <v>7.02</v>
      </c>
      <c r="E265" s="8" t="n">
        <v>37.65</v>
      </c>
      <c r="F265" s="9" t="n">
        <f aca="false">IFERROR((E265-D265)/E265,"")</f>
        <v>0.813545816733068</v>
      </c>
      <c r="G265" s="8" t="n">
        <v>18.35</v>
      </c>
      <c r="H265" s="8" t="n">
        <v>14.94</v>
      </c>
      <c r="I265" s="8" t="n">
        <v>11.17</v>
      </c>
      <c r="J265" s="8" t="n">
        <v>10.35</v>
      </c>
      <c r="K265" s="6" t="s">
        <v>404</v>
      </c>
      <c r="L265" s="6" t="s">
        <v>403</v>
      </c>
    </row>
    <row r="266" customFormat="false" ht="15" hidden="false" customHeight="false" outlineLevel="0" collapsed="false">
      <c r="A266" s="15" t="s">
        <v>354</v>
      </c>
      <c r="B266" s="16" t="s">
        <v>25</v>
      </c>
      <c r="C266" s="15" t="s">
        <v>355</v>
      </c>
      <c r="D266" s="17" t="n">
        <v>7.72</v>
      </c>
      <c r="E266" s="17" t="n">
        <v>40.43</v>
      </c>
      <c r="F266" s="18" t="n">
        <f aca="false">IFERROR((E266-D266)/E266,"")</f>
        <v>0.809052683650754</v>
      </c>
      <c r="G266" s="17" t="n">
        <v>21.72</v>
      </c>
      <c r="H266" s="17" t="n">
        <v>18.31</v>
      </c>
      <c r="I266" s="17" t="n">
        <v>15.13</v>
      </c>
      <c r="J266" s="17" t="n">
        <v>15.26</v>
      </c>
      <c r="K266" s="15" t="s">
        <v>402</v>
      </c>
      <c r="L266" s="15" t="s">
        <v>403</v>
      </c>
    </row>
    <row r="267" customFormat="false" ht="15" hidden="false" customHeight="false" outlineLevel="0" collapsed="false">
      <c r="A267" s="6" t="s">
        <v>356</v>
      </c>
      <c r="B267" s="7" t="s">
        <v>27</v>
      </c>
      <c r="C267" s="6" t="s">
        <v>357</v>
      </c>
      <c r="D267" s="8" t="n">
        <v>5.92</v>
      </c>
      <c r="E267" s="8" t="n">
        <v>44.44</v>
      </c>
      <c r="F267" s="9" t="n">
        <f aca="false">IFERROR((E267-D267)/E267,"")</f>
        <v>0.866786678667867</v>
      </c>
      <c r="G267" s="8" t="n">
        <v>24.99</v>
      </c>
      <c r="H267" s="8" t="n">
        <v>17.5</v>
      </c>
      <c r="I267" s="8" t="n">
        <v>14.58</v>
      </c>
      <c r="J267" s="8" t="n">
        <v>12.83</v>
      </c>
      <c r="K267" s="6" t="s">
        <v>402</v>
      </c>
      <c r="L267" s="6" t="s">
        <v>403</v>
      </c>
    </row>
    <row r="268" customFormat="false" ht="15" hidden="false" customHeight="false" outlineLevel="0" collapsed="false">
      <c r="A268" s="15" t="s">
        <v>356</v>
      </c>
      <c r="B268" s="16" t="s">
        <v>23</v>
      </c>
      <c r="C268" s="15" t="s">
        <v>357</v>
      </c>
      <c r="D268" s="17" t="n">
        <v>7.67</v>
      </c>
      <c r="E268" s="17" t="n">
        <v>49.26</v>
      </c>
      <c r="F268" s="18" t="n">
        <f aca="false">IFERROR((E268-D268)/E268,"")</f>
        <v>0.844295574502639</v>
      </c>
      <c r="G268" s="17" t="n">
        <v>27.54</v>
      </c>
      <c r="H268" s="17" t="n">
        <v>21.36</v>
      </c>
      <c r="I268" s="17" t="n">
        <v>16.47</v>
      </c>
      <c r="J268" s="17" t="n">
        <v>14.5</v>
      </c>
      <c r="K268" s="15" t="s">
        <v>404</v>
      </c>
      <c r="L268" s="15" t="s">
        <v>403</v>
      </c>
    </row>
    <row r="269" customFormat="false" ht="15" hidden="false" customHeight="false" outlineLevel="0" collapsed="false">
      <c r="A269" s="6" t="s">
        <v>356</v>
      </c>
      <c r="B269" s="7" t="s">
        <v>25</v>
      </c>
      <c r="C269" s="6" t="s">
        <v>357</v>
      </c>
      <c r="D269" s="8" t="n">
        <v>8.43</v>
      </c>
      <c r="E269" s="8" t="n">
        <v>50.58</v>
      </c>
      <c r="F269" s="9" t="n">
        <f aca="false">IFERROR((E269-D269)/E269,"")</f>
        <v>0.833333333333333</v>
      </c>
      <c r="G269" s="8" t="n">
        <v>30.1</v>
      </c>
      <c r="H269" s="8" t="n">
        <v>25.18</v>
      </c>
      <c r="I269" s="8" t="n">
        <v>20.95</v>
      </c>
      <c r="J269" s="8" t="n">
        <v>19.42</v>
      </c>
      <c r="K269" s="6" t="s">
        <v>402</v>
      </c>
      <c r="L269" s="6" t="s">
        <v>403</v>
      </c>
    </row>
    <row r="270" customFormat="false" ht="15" hidden="false" customHeight="false" outlineLevel="0" collapsed="false">
      <c r="A270" s="15" t="s">
        <v>358</v>
      </c>
      <c r="B270" s="16" t="s">
        <v>23</v>
      </c>
      <c r="C270" s="15" t="s">
        <v>359</v>
      </c>
      <c r="D270" s="17" t="n">
        <v>8.84</v>
      </c>
      <c r="E270" s="17" t="n">
        <v>57.2</v>
      </c>
      <c r="F270" s="18" t="n">
        <f aca="false">IFERROR((E270-D270)/E270,"")</f>
        <v>0.845454545454545</v>
      </c>
      <c r="G270" s="17" t="n">
        <v>36.58</v>
      </c>
      <c r="H270" s="17" t="n">
        <v>32.27</v>
      </c>
      <c r="I270" s="17" t="n">
        <v>29.05</v>
      </c>
      <c r="J270" s="17" t="n">
        <v>27.97</v>
      </c>
      <c r="K270" s="15" t="s">
        <v>402</v>
      </c>
      <c r="L270" s="15" t="s">
        <v>403</v>
      </c>
    </row>
    <row r="271" customFormat="false" ht="15" hidden="false" customHeight="false" outlineLevel="0" collapsed="false">
      <c r="A271" s="6" t="s">
        <v>358</v>
      </c>
      <c r="B271" s="7" t="s">
        <v>25</v>
      </c>
      <c r="C271" s="6" t="s">
        <v>359</v>
      </c>
      <c r="D271" s="8" t="n">
        <v>9.72</v>
      </c>
      <c r="E271" s="8" t="n">
        <v>56.66</v>
      </c>
      <c r="F271" s="9" t="n">
        <f aca="false">IFERROR((E271-D271)/E271,"")</f>
        <v>0.828450405930109</v>
      </c>
      <c r="G271" s="8" t="n">
        <v>38.53</v>
      </c>
      <c r="H271" s="8" t="n">
        <v>33.65</v>
      </c>
      <c r="I271" s="8" t="n">
        <v>32.32</v>
      </c>
      <c r="J271" s="8" t="n">
        <v>31.99</v>
      </c>
      <c r="K271" s="6" t="s">
        <v>402</v>
      </c>
      <c r="L271" s="6" t="s">
        <v>403</v>
      </c>
    </row>
    <row r="272" customFormat="false" ht="15" hidden="false" customHeight="false" outlineLevel="0" collapsed="false">
      <c r="A272" s="15" t="s">
        <v>360</v>
      </c>
      <c r="B272" s="16" t="s">
        <v>27</v>
      </c>
      <c r="C272" s="15" t="s">
        <v>361</v>
      </c>
      <c r="D272" s="17" t="n">
        <v>5.86</v>
      </c>
      <c r="E272" s="17" t="n">
        <v>37.24</v>
      </c>
      <c r="F272" s="18" t="n">
        <f aca="false">IFERROR((E272-D272)/E272,"")</f>
        <v>0.842642320085929</v>
      </c>
      <c r="G272" s="17" t="n">
        <v>21.64</v>
      </c>
      <c r="H272" s="17" t="n">
        <v>14.62</v>
      </c>
      <c r="I272" s="17" t="n">
        <v>11.11</v>
      </c>
      <c r="J272" s="17" t="n">
        <v>10.24</v>
      </c>
      <c r="K272" s="15" t="s">
        <v>402</v>
      </c>
      <c r="L272" s="15" t="s">
        <v>403</v>
      </c>
    </row>
    <row r="273" customFormat="false" ht="15" hidden="false" customHeight="false" outlineLevel="0" collapsed="false">
      <c r="A273" s="6" t="s">
        <v>360</v>
      </c>
      <c r="B273" s="7" t="s">
        <v>23</v>
      </c>
      <c r="C273" s="6" t="s">
        <v>361</v>
      </c>
      <c r="D273" s="8" t="n">
        <v>7.63</v>
      </c>
      <c r="E273" s="8" t="n">
        <v>41.28</v>
      </c>
      <c r="F273" s="9" t="n">
        <f aca="false">IFERROR((E273-D273)/E273,"")</f>
        <v>0.815164728682171</v>
      </c>
      <c r="G273" s="8" t="n">
        <v>23.85</v>
      </c>
      <c r="H273" s="8" t="n">
        <v>17.84</v>
      </c>
      <c r="I273" s="8" t="n">
        <v>12.55</v>
      </c>
      <c r="J273" s="8" t="n">
        <v>11.57</v>
      </c>
      <c r="K273" s="6" t="s">
        <v>404</v>
      </c>
      <c r="L273" s="6" t="s">
        <v>403</v>
      </c>
    </row>
    <row r="274" customFormat="false" ht="15" hidden="false" customHeight="false" outlineLevel="0" collapsed="false">
      <c r="A274" s="15" t="s">
        <v>360</v>
      </c>
      <c r="B274" s="16" t="s">
        <v>25</v>
      </c>
      <c r="C274" s="15" t="s">
        <v>361</v>
      </c>
      <c r="D274" s="17" t="n">
        <v>8.4</v>
      </c>
      <c r="E274" s="17" t="n">
        <v>47.23</v>
      </c>
      <c r="F274" s="18" t="n">
        <f aca="false">IFERROR((E274-D274)/E274,"")</f>
        <v>0.822146940503917</v>
      </c>
      <c r="G274" s="17" t="n">
        <v>27.39</v>
      </c>
      <c r="H274" s="17" t="n">
        <v>23.79</v>
      </c>
      <c r="I274" s="17" t="n">
        <v>19.69</v>
      </c>
      <c r="J274" s="17" t="n">
        <v>18.69</v>
      </c>
      <c r="K274" s="15" t="s">
        <v>402</v>
      </c>
      <c r="L274" s="15" t="s">
        <v>403</v>
      </c>
    </row>
    <row r="275" customFormat="false" ht="15" hidden="false" customHeight="false" outlineLevel="0" collapsed="false">
      <c r="A275" s="6" t="s">
        <v>362</v>
      </c>
      <c r="B275" s="7" t="s">
        <v>27</v>
      </c>
      <c r="C275" s="6" t="s">
        <v>363</v>
      </c>
      <c r="D275" s="8" t="n">
        <v>6.27</v>
      </c>
      <c r="E275" s="8" t="n">
        <v>41.01</v>
      </c>
      <c r="F275" s="9" t="n">
        <f aca="false">IFERROR((E275-D275)/E275,"")</f>
        <v>0.847110460863204</v>
      </c>
      <c r="G275" s="8" t="n">
        <v>26.44</v>
      </c>
      <c r="H275" s="8" t="n">
        <v>17.39</v>
      </c>
      <c r="I275" s="8" t="n">
        <v>14.49</v>
      </c>
      <c r="J275" s="8" t="n">
        <v>13.54</v>
      </c>
      <c r="K275" s="6" t="s">
        <v>402</v>
      </c>
      <c r="L275" s="6" t="s">
        <v>403</v>
      </c>
    </row>
    <row r="276" customFormat="false" ht="15" hidden="false" customHeight="false" outlineLevel="0" collapsed="false">
      <c r="A276" s="15" t="s">
        <v>364</v>
      </c>
      <c r="B276" s="16" t="s">
        <v>23</v>
      </c>
      <c r="C276" s="15" t="s">
        <v>365</v>
      </c>
      <c r="D276" s="17" t="n">
        <v>8.21</v>
      </c>
      <c r="E276" s="17" t="n">
        <v>40.51</v>
      </c>
      <c r="F276" s="18" t="n">
        <f aca="false">IFERROR((E276-D276)/E276,"")</f>
        <v>0.797333991607011</v>
      </c>
      <c r="G276" s="17" t="n">
        <v>25.89</v>
      </c>
      <c r="H276" s="17" t="n">
        <v>23.39</v>
      </c>
      <c r="I276" s="17" t="n">
        <v>19.59</v>
      </c>
      <c r="J276" s="17" t="n">
        <v>17.4</v>
      </c>
      <c r="K276" s="15" t="s">
        <v>404</v>
      </c>
      <c r="L276" s="15" t="s">
        <v>403</v>
      </c>
    </row>
    <row r="277" customFormat="false" ht="15" hidden="false" customHeight="false" outlineLevel="0" collapsed="false">
      <c r="A277" s="6" t="s">
        <v>364</v>
      </c>
      <c r="B277" s="7" t="s">
        <v>25</v>
      </c>
      <c r="C277" s="6" t="s">
        <v>365</v>
      </c>
      <c r="D277" s="8" t="n">
        <v>9.03</v>
      </c>
      <c r="E277" s="8" t="n">
        <v>38.27</v>
      </c>
      <c r="F277" s="9" t="n">
        <f aca="false">IFERROR((E277-D277)/E277,"")</f>
        <v>0.764044943820225</v>
      </c>
      <c r="G277" s="8" t="n">
        <v>25.01</v>
      </c>
      <c r="H277" s="8" t="n">
        <v>24.63</v>
      </c>
      <c r="I277" s="8" t="n">
        <v>20.64</v>
      </c>
      <c r="J277" s="8" t="n">
        <v>18.32</v>
      </c>
      <c r="K277" s="6" t="s">
        <v>404</v>
      </c>
      <c r="L277" s="6" t="s">
        <v>403</v>
      </c>
    </row>
    <row r="278" customFormat="false" ht="15" hidden="false" customHeight="false" outlineLevel="0" collapsed="false">
      <c r="A278" s="15" t="s">
        <v>366</v>
      </c>
      <c r="B278" s="16" t="s">
        <v>23</v>
      </c>
      <c r="C278" s="15" t="s">
        <v>367</v>
      </c>
      <c r="D278" s="17" t="n">
        <v>8.71</v>
      </c>
      <c r="E278" s="17" t="n">
        <v>35.38</v>
      </c>
      <c r="F278" s="18" t="n">
        <f aca="false">IFERROR((E278-D278)/E278,"")</f>
        <v>0.753815715093273</v>
      </c>
      <c r="G278" s="17" t="n">
        <v>21.87</v>
      </c>
      <c r="H278" s="17" t="n">
        <v>19.72</v>
      </c>
      <c r="I278" s="17" t="n">
        <v>16.59</v>
      </c>
      <c r="J278" s="17" t="n">
        <v>12.7</v>
      </c>
      <c r="K278" s="15" t="s">
        <v>404</v>
      </c>
      <c r="L278" s="15" t="s">
        <v>403</v>
      </c>
    </row>
    <row r="279" customFormat="false" ht="15" hidden="false" customHeight="false" outlineLevel="0" collapsed="false">
      <c r="A279" s="6" t="s">
        <v>366</v>
      </c>
      <c r="B279" s="7" t="s">
        <v>25</v>
      </c>
      <c r="C279" s="6" t="s">
        <v>367</v>
      </c>
      <c r="D279" s="8" t="n">
        <v>9.58</v>
      </c>
      <c r="E279" s="8" t="n">
        <v>33.42</v>
      </c>
      <c r="F279" s="9" t="n">
        <f aca="false">IFERROR((E279-D279)/E279,"")</f>
        <v>0.713345302214243</v>
      </c>
      <c r="G279" s="8" t="n">
        <v>21.13</v>
      </c>
      <c r="H279" s="8" t="n">
        <v>20.77</v>
      </c>
      <c r="I279" s="8" t="n">
        <v>17.47</v>
      </c>
      <c r="J279" s="8" t="n">
        <v>13.37</v>
      </c>
      <c r="K279" s="6" t="s">
        <v>404</v>
      </c>
      <c r="L279" s="6" t="s">
        <v>403</v>
      </c>
    </row>
    <row r="280" customFormat="false" ht="15" hidden="false" customHeight="false" outlineLevel="0" collapsed="false">
      <c r="A280" s="15" t="s">
        <v>368</v>
      </c>
      <c r="B280" s="16" t="s">
        <v>23</v>
      </c>
      <c r="C280" s="15" t="s">
        <v>369</v>
      </c>
      <c r="D280" s="17" t="n">
        <v>6.73</v>
      </c>
      <c r="E280" s="17" t="n">
        <v>35.38</v>
      </c>
      <c r="F280" s="18" t="n">
        <f aca="false">IFERROR((E280-D280)/E280,"")</f>
        <v>0.809779536461278</v>
      </c>
      <c r="G280" s="17" t="n">
        <v>21.87</v>
      </c>
      <c r="H280" s="17" t="n">
        <v>19.72</v>
      </c>
      <c r="I280" s="17" t="n">
        <v>15.47</v>
      </c>
      <c r="J280" s="17" t="n">
        <v>12.29</v>
      </c>
      <c r="K280" s="15" t="s">
        <v>404</v>
      </c>
      <c r="L280" s="15" t="s">
        <v>403</v>
      </c>
    </row>
    <row r="281" customFormat="false" ht="15" hidden="false" customHeight="false" outlineLevel="0" collapsed="false">
      <c r="A281" s="6" t="s">
        <v>368</v>
      </c>
      <c r="B281" s="7" t="s">
        <v>25</v>
      </c>
      <c r="C281" s="6" t="s">
        <v>369</v>
      </c>
      <c r="D281" s="8" t="n">
        <v>7.41</v>
      </c>
      <c r="E281" s="8" t="n">
        <v>33.42</v>
      </c>
      <c r="F281" s="9" t="n">
        <f aca="false">IFERROR((E281-D281)/E281,"")</f>
        <v>0.778276481149013</v>
      </c>
      <c r="G281" s="8" t="n">
        <v>21.13</v>
      </c>
      <c r="H281" s="8" t="n">
        <v>20.77</v>
      </c>
      <c r="I281" s="8" t="n">
        <v>16.29</v>
      </c>
      <c r="J281" s="8" t="n">
        <v>12.95</v>
      </c>
      <c r="K281" s="6" t="s">
        <v>404</v>
      </c>
      <c r="L281" s="6" t="s">
        <v>403</v>
      </c>
    </row>
    <row r="282" customFormat="false" ht="15" hidden="false" customHeight="false" outlineLevel="0" collapsed="false">
      <c r="A282" s="15" t="s">
        <v>370</v>
      </c>
      <c r="B282" s="16" t="s">
        <v>23</v>
      </c>
      <c r="C282" s="15" t="s">
        <v>371</v>
      </c>
      <c r="D282" s="17" t="n">
        <v>8.17</v>
      </c>
      <c r="E282" s="17" t="n">
        <v>37.65</v>
      </c>
      <c r="F282" s="18" t="n">
        <f aca="false">IFERROR((E282-D282)/E282,"")</f>
        <v>0.783001328021248</v>
      </c>
      <c r="G282" s="17" t="n">
        <v>22.65</v>
      </c>
      <c r="H282" s="17" t="n">
        <v>21.14</v>
      </c>
      <c r="I282" s="17" t="n">
        <v>17.65</v>
      </c>
      <c r="J282" s="17" t="n">
        <v>16.01</v>
      </c>
      <c r="K282" s="15" t="s">
        <v>404</v>
      </c>
      <c r="L282" s="15" t="s">
        <v>403</v>
      </c>
    </row>
    <row r="283" customFormat="false" ht="15" hidden="false" customHeight="false" outlineLevel="0" collapsed="false">
      <c r="A283" s="6" t="s">
        <v>370</v>
      </c>
      <c r="B283" s="7" t="s">
        <v>25</v>
      </c>
      <c r="C283" s="6" t="s">
        <v>371</v>
      </c>
      <c r="D283" s="8" t="n">
        <v>8.99</v>
      </c>
      <c r="E283" s="8" t="n">
        <v>35.57</v>
      </c>
      <c r="F283" s="9" t="n">
        <f aca="false">IFERROR((E283-D283)/E283,"")</f>
        <v>0.747258926061288</v>
      </c>
      <c r="G283" s="8" t="n">
        <v>21.88</v>
      </c>
      <c r="H283" s="8" t="n">
        <v>22.26</v>
      </c>
      <c r="I283" s="8" t="n">
        <v>18.59</v>
      </c>
      <c r="J283" s="8" t="n">
        <v>16.86</v>
      </c>
      <c r="K283" s="6" t="s">
        <v>404</v>
      </c>
      <c r="L283" s="6" t="s">
        <v>403</v>
      </c>
    </row>
    <row r="284" customFormat="false" ht="15" hidden="false" customHeight="false" outlineLevel="0" collapsed="false">
      <c r="A284" s="15" t="s">
        <v>372</v>
      </c>
      <c r="B284" s="16" t="s">
        <v>23</v>
      </c>
      <c r="C284" s="15" t="s">
        <v>373</v>
      </c>
      <c r="D284" s="17" t="n">
        <v>8.15</v>
      </c>
      <c r="E284" s="17" t="n">
        <v>37.65</v>
      </c>
      <c r="F284" s="18" t="n">
        <f aca="false">IFERROR((E284-D284)/E284,"")</f>
        <v>0.783532536520584</v>
      </c>
      <c r="G284" s="17" t="n">
        <v>23.26</v>
      </c>
      <c r="H284" s="17" t="n">
        <v>19.72</v>
      </c>
      <c r="I284" s="17" t="n">
        <v>16.34</v>
      </c>
      <c r="J284" s="17" t="n">
        <v>16.22</v>
      </c>
      <c r="K284" s="15" t="s">
        <v>404</v>
      </c>
      <c r="L284" s="15" t="s">
        <v>403</v>
      </c>
    </row>
    <row r="285" customFormat="false" ht="15" hidden="false" customHeight="false" outlineLevel="0" collapsed="false">
      <c r="A285" s="6" t="s">
        <v>372</v>
      </c>
      <c r="B285" s="7" t="s">
        <v>25</v>
      </c>
      <c r="C285" s="6" t="s">
        <v>373</v>
      </c>
      <c r="D285" s="8" t="n">
        <v>8.97</v>
      </c>
      <c r="E285" s="8" t="n">
        <v>35.57</v>
      </c>
      <c r="F285" s="9" t="n">
        <f aca="false">IFERROR((E285-D285)/E285,"")</f>
        <v>0.747821197638459</v>
      </c>
      <c r="G285" s="8" t="n">
        <v>22.47</v>
      </c>
      <c r="H285" s="8" t="n">
        <v>20.77</v>
      </c>
      <c r="I285" s="8" t="n">
        <v>17.21</v>
      </c>
      <c r="J285" s="8" t="n">
        <v>17.08</v>
      </c>
      <c r="K285" s="6" t="s">
        <v>404</v>
      </c>
      <c r="L285" s="6" t="s">
        <v>403</v>
      </c>
    </row>
    <row r="286" customFormat="false" ht="15" hidden="false" customHeight="false" outlineLevel="0" collapsed="false">
      <c r="A286" s="15" t="s">
        <v>374</v>
      </c>
      <c r="B286" s="16" t="s">
        <v>23</v>
      </c>
      <c r="C286" s="15" t="s">
        <v>375</v>
      </c>
      <c r="D286" s="17" t="n">
        <v>8.87</v>
      </c>
      <c r="E286" s="17" t="n">
        <v>43.99</v>
      </c>
      <c r="F286" s="18" t="n">
        <f aca="false">IFERROR((E286-D286)/E286,"")</f>
        <v>0.798363264378268</v>
      </c>
      <c r="G286" s="17" t="n">
        <v>26.32</v>
      </c>
      <c r="H286" s="17" t="n">
        <v>25.3</v>
      </c>
      <c r="I286" s="17" t="n">
        <v>20.89</v>
      </c>
      <c r="J286" s="17" t="n">
        <v>19.27</v>
      </c>
      <c r="K286" s="15" t="s">
        <v>404</v>
      </c>
      <c r="L286" s="15" t="s">
        <v>403</v>
      </c>
    </row>
    <row r="287" customFormat="false" ht="15" hidden="false" customHeight="false" outlineLevel="0" collapsed="false">
      <c r="A287" s="6" t="s">
        <v>376</v>
      </c>
      <c r="B287" s="7" t="s">
        <v>27</v>
      </c>
      <c r="C287" s="6" t="s">
        <v>377</v>
      </c>
      <c r="D287" s="8" t="n">
        <v>5.96</v>
      </c>
      <c r="E287" s="8" t="n">
        <v>48.89</v>
      </c>
      <c r="F287" s="9" t="n">
        <f aca="false">IFERROR((E287-D287)/E287,"")</f>
        <v>0.878093679689098</v>
      </c>
      <c r="G287" s="8" t="n">
        <v>24.02</v>
      </c>
      <c r="H287" s="8" t="n">
        <v>18.89</v>
      </c>
      <c r="I287" s="8" t="n">
        <v>15.6</v>
      </c>
      <c r="J287" s="8" t="n">
        <v>14.28</v>
      </c>
      <c r="K287" s="6" t="s">
        <v>402</v>
      </c>
      <c r="L287" s="6" t="s">
        <v>403</v>
      </c>
    </row>
    <row r="288" customFormat="false" ht="15" hidden="false" customHeight="false" outlineLevel="0" collapsed="false">
      <c r="A288" s="15" t="s">
        <v>376</v>
      </c>
      <c r="B288" s="16" t="s">
        <v>23</v>
      </c>
      <c r="C288" s="15" t="s">
        <v>377</v>
      </c>
      <c r="D288" s="17" t="n">
        <v>7.78</v>
      </c>
      <c r="E288" s="17" t="n">
        <v>49.99</v>
      </c>
      <c r="F288" s="18" t="n">
        <f aca="false">IFERROR((E288-D288)/E288,"")</f>
        <v>0.844368873774755</v>
      </c>
      <c r="G288" s="17" t="n">
        <v>31.1</v>
      </c>
      <c r="H288" s="17" t="n">
        <v>24.24</v>
      </c>
      <c r="I288" s="17" t="n">
        <v>22.62</v>
      </c>
      <c r="J288" s="17" t="n">
        <v>21.36</v>
      </c>
      <c r="K288" s="15" t="s">
        <v>402</v>
      </c>
      <c r="L288" s="15" t="s">
        <v>403</v>
      </c>
    </row>
    <row r="289" customFormat="false" ht="15" hidden="false" customHeight="false" outlineLevel="0" collapsed="false">
      <c r="A289" s="6" t="s">
        <v>376</v>
      </c>
      <c r="B289" s="7" t="s">
        <v>25</v>
      </c>
      <c r="C289" s="6" t="s">
        <v>377</v>
      </c>
      <c r="D289" s="8" t="n">
        <v>8.55</v>
      </c>
      <c r="E289" s="8" t="n">
        <v>46.27</v>
      </c>
      <c r="F289" s="9" t="n">
        <f aca="false">IFERROR((E289-D289)/E289,"")</f>
        <v>0.815215042143938</v>
      </c>
      <c r="G289" s="8" t="n">
        <v>27.39</v>
      </c>
      <c r="H289" s="8" t="n">
        <v>21.73</v>
      </c>
      <c r="I289" s="8" t="n">
        <v>20.13</v>
      </c>
      <c r="J289" s="8" t="n">
        <v>20.06</v>
      </c>
      <c r="K289" s="6" t="s">
        <v>402</v>
      </c>
      <c r="L289" s="6" t="s">
        <v>403</v>
      </c>
    </row>
    <row r="290" customFormat="false" ht="15" hidden="false" customHeight="false" outlineLevel="0" collapsed="false">
      <c r="A290" s="15" t="s">
        <v>378</v>
      </c>
      <c r="B290" s="16" t="s">
        <v>27</v>
      </c>
      <c r="C290" s="15" t="s">
        <v>379</v>
      </c>
      <c r="D290" s="17" t="n">
        <v>6.29</v>
      </c>
      <c r="E290" s="17" t="n">
        <v>53.33</v>
      </c>
      <c r="F290" s="18" t="n">
        <f aca="false">IFERROR((E290-D290)/E290,"")</f>
        <v>0.882055128445528</v>
      </c>
      <c r="G290" s="17" t="n">
        <v>24.49</v>
      </c>
      <c r="H290" s="17" t="n">
        <v>20.83</v>
      </c>
      <c r="I290" s="17" t="n">
        <v>21.01</v>
      </c>
      <c r="J290" s="17" t="n">
        <v>19.66</v>
      </c>
      <c r="K290" s="15" t="s">
        <v>402</v>
      </c>
      <c r="L290" s="15" t="s">
        <v>403</v>
      </c>
    </row>
    <row r="291" customFormat="false" ht="15" hidden="false" customHeight="false" outlineLevel="0" collapsed="false">
      <c r="A291" s="6" t="s">
        <v>380</v>
      </c>
      <c r="B291" s="7" t="s">
        <v>23</v>
      </c>
      <c r="C291" s="6" t="s">
        <v>381</v>
      </c>
      <c r="D291" s="8" t="n">
        <v>8.98</v>
      </c>
      <c r="E291" s="8" t="n">
        <v>43.66</v>
      </c>
      <c r="F291" s="9" t="n">
        <f aca="false">IFERROR((E291-D291)/E291,"")</f>
        <v>0.794319743472286</v>
      </c>
      <c r="G291" s="8" t="n">
        <v>25.55</v>
      </c>
      <c r="H291" s="8" t="n">
        <v>20.46</v>
      </c>
      <c r="I291" s="8" t="n">
        <v>18.85</v>
      </c>
      <c r="J291" s="8" t="n">
        <v>18.76</v>
      </c>
      <c r="K291" s="6" t="s">
        <v>402</v>
      </c>
      <c r="L291" s="6" t="s">
        <v>403</v>
      </c>
    </row>
    <row r="292" customFormat="false" ht="15" hidden="false" customHeight="false" outlineLevel="0" collapsed="false">
      <c r="A292" s="15" t="s">
        <v>380</v>
      </c>
      <c r="B292" s="16" t="s">
        <v>25</v>
      </c>
      <c r="C292" s="15" t="s">
        <v>381</v>
      </c>
      <c r="D292" s="17" t="n">
        <v>9.88</v>
      </c>
      <c r="E292" s="17" t="n">
        <v>47.23</v>
      </c>
      <c r="F292" s="18" t="n">
        <f aca="false">IFERROR((E292-D292)/E292,"")</f>
        <v>0.790810925259369</v>
      </c>
      <c r="G292" s="17" t="n">
        <v>27.06</v>
      </c>
      <c r="H292" s="17" t="n">
        <v>22.9</v>
      </c>
      <c r="I292" s="17" t="n">
        <v>18.2</v>
      </c>
      <c r="J292" s="17" t="n">
        <v>20.44</v>
      </c>
      <c r="K292" s="15" t="s">
        <v>402</v>
      </c>
      <c r="L292" s="15" t="s">
        <v>403</v>
      </c>
    </row>
    <row r="293" customFormat="false" ht="15" hidden="false" customHeight="false" outlineLevel="0" collapsed="false">
      <c r="A293" s="6" t="s">
        <v>382</v>
      </c>
      <c r="B293" s="7" t="s">
        <v>23</v>
      </c>
      <c r="C293" s="6" t="s">
        <v>383</v>
      </c>
      <c r="D293" s="8" t="n">
        <v>8.96</v>
      </c>
      <c r="E293" s="8" t="n">
        <v>44.44</v>
      </c>
      <c r="F293" s="9" t="n">
        <f aca="false">IFERROR((E293-D293)/E293,"")</f>
        <v>0.798379837983798</v>
      </c>
      <c r="G293" s="8" t="n">
        <v>30.55</v>
      </c>
      <c r="H293" s="8" t="n">
        <v>21.54</v>
      </c>
      <c r="I293" s="8" t="n">
        <v>17.95</v>
      </c>
      <c r="J293" s="8" t="n">
        <v>17.95</v>
      </c>
      <c r="K293" s="6" t="s">
        <v>402</v>
      </c>
      <c r="L293" s="6" t="s">
        <v>403</v>
      </c>
    </row>
    <row r="294" customFormat="false" ht="15" hidden="false" customHeight="false" outlineLevel="0" collapsed="false">
      <c r="A294" s="15" t="s">
        <v>382</v>
      </c>
      <c r="B294" s="16" t="s">
        <v>25</v>
      </c>
      <c r="C294" s="15" t="s">
        <v>383</v>
      </c>
      <c r="D294" s="17" t="n">
        <v>9.86</v>
      </c>
      <c r="E294" s="17" t="n">
        <v>43.33</v>
      </c>
      <c r="F294" s="18" t="n">
        <f aca="false">IFERROR((E294-D294)/E294,"")</f>
        <v>0.772444034156474</v>
      </c>
      <c r="G294" s="17" t="n">
        <v>28.33</v>
      </c>
      <c r="H294" s="17" t="n">
        <v>22.88</v>
      </c>
      <c r="I294" s="17" t="n">
        <v>22.58</v>
      </c>
      <c r="J294" s="17" t="n">
        <v>20.67</v>
      </c>
      <c r="K294" s="15" t="s">
        <v>402</v>
      </c>
      <c r="L294" s="15" t="s">
        <v>403</v>
      </c>
    </row>
    <row r="295" customFormat="false" ht="15" hidden="false" customHeight="false" outlineLevel="0" collapsed="false">
      <c r="A295" s="6" t="s">
        <v>384</v>
      </c>
      <c r="B295" s="7" t="s">
        <v>27</v>
      </c>
      <c r="C295" s="6" t="s">
        <v>385</v>
      </c>
      <c r="D295" s="8" t="n">
        <v>6</v>
      </c>
      <c r="E295" s="8" t="n">
        <v>38.64</v>
      </c>
      <c r="F295" s="9" t="n">
        <f aca="false">IFERROR((E295-D295)/E295,"")</f>
        <v>0.84472049689441</v>
      </c>
      <c r="G295" s="8" t="n">
        <v>24.49</v>
      </c>
      <c r="H295" s="8" t="n">
        <v>20.08</v>
      </c>
      <c r="I295" s="8" t="n">
        <v>18.21</v>
      </c>
      <c r="J295" s="8" t="n">
        <v>16.79</v>
      </c>
      <c r="K295" s="6" t="s">
        <v>402</v>
      </c>
      <c r="L295" s="6" t="s">
        <v>403</v>
      </c>
    </row>
    <row r="296" customFormat="false" ht="15" hidden="false" customHeight="false" outlineLevel="0" collapsed="false">
      <c r="A296" s="15" t="s">
        <v>386</v>
      </c>
      <c r="B296" s="16" t="s">
        <v>23</v>
      </c>
      <c r="C296" s="15" t="s">
        <v>387</v>
      </c>
      <c r="D296" s="17" t="n">
        <v>8.23</v>
      </c>
      <c r="E296" s="17" t="n">
        <v>43.99</v>
      </c>
      <c r="F296" s="18" t="n">
        <f aca="false">IFERROR((E296-D296)/E296,"")</f>
        <v>0.812912025460332</v>
      </c>
      <c r="G296" s="17" t="n">
        <v>25.71</v>
      </c>
      <c r="H296" s="17" t="n">
        <v>24.33</v>
      </c>
      <c r="I296" s="17" t="n">
        <v>20.08</v>
      </c>
      <c r="J296" s="17" t="n">
        <v>18.45</v>
      </c>
      <c r="K296" s="15" t="s">
        <v>404</v>
      </c>
      <c r="L296" s="15" t="s">
        <v>403</v>
      </c>
    </row>
    <row r="297" customFormat="false" ht="15" hidden="false" customHeight="false" outlineLevel="0" collapsed="false">
      <c r="A297" s="6" t="s">
        <v>386</v>
      </c>
      <c r="B297" s="7" t="s">
        <v>25</v>
      </c>
      <c r="C297" s="6" t="s">
        <v>387</v>
      </c>
      <c r="D297" s="8" t="n">
        <v>9.05</v>
      </c>
      <c r="E297" s="8" t="n">
        <v>41.56</v>
      </c>
      <c r="F297" s="9" t="n">
        <f aca="false">IFERROR((E297-D297)/E297,"")</f>
        <v>0.782242540904716</v>
      </c>
      <c r="G297" s="8" t="n">
        <v>24.84</v>
      </c>
      <c r="H297" s="8" t="n">
        <v>25.62</v>
      </c>
      <c r="I297" s="8" t="n">
        <v>21.15</v>
      </c>
      <c r="J297" s="8" t="n">
        <v>19.43</v>
      </c>
      <c r="K297" s="6" t="s">
        <v>404</v>
      </c>
      <c r="L297" s="6" t="s">
        <v>403</v>
      </c>
    </row>
    <row r="298" customFormat="false" ht="15" hidden="false" customHeight="false" outlineLevel="0" collapsed="false">
      <c r="A298" s="15" t="s">
        <v>388</v>
      </c>
      <c r="B298" s="16" t="s">
        <v>27</v>
      </c>
      <c r="C298" s="15" t="s">
        <v>389</v>
      </c>
      <c r="D298" s="17" t="n">
        <v>18.5</v>
      </c>
      <c r="E298" s="17" t="n">
        <v>39.69</v>
      </c>
      <c r="F298" s="18" t="n">
        <f aca="false">IFERROR((E298-D298)/E298,"")</f>
        <v>0.533887629125724</v>
      </c>
      <c r="G298" s="17" t="n">
        <v>34.24</v>
      </c>
      <c r="H298" s="17" t="n">
        <v>26.63</v>
      </c>
      <c r="I298" s="17" t="n">
        <v>26.63</v>
      </c>
      <c r="J298" s="17" t="n">
        <v>26.63</v>
      </c>
      <c r="K298" s="15" t="s">
        <v>402</v>
      </c>
      <c r="L298" s="15" t="s">
        <v>403</v>
      </c>
    </row>
    <row r="299" customFormat="false" ht="15" hidden="false" customHeight="false" outlineLevel="0" collapsed="false">
      <c r="A299" s="6" t="s">
        <v>388</v>
      </c>
      <c r="B299" s="7" t="s">
        <v>23</v>
      </c>
      <c r="C299" s="6" t="s">
        <v>389</v>
      </c>
      <c r="D299" s="8" t="n">
        <v>19</v>
      </c>
      <c r="E299" s="8" t="n">
        <v>47.63</v>
      </c>
      <c r="F299" s="9" t="n">
        <f aca="false">IFERROR((E299-D299)/E299,"")</f>
        <v>0.601091748897754</v>
      </c>
      <c r="G299" s="8" t="n">
        <v>28.34</v>
      </c>
      <c r="H299" s="8" t="n">
        <v>34.25</v>
      </c>
      <c r="I299" s="8" t="n">
        <v>34.25</v>
      </c>
      <c r="J299" s="8" t="n">
        <v>34.25</v>
      </c>
      <c r="K299" s="6" t="s">
        <v>402</v>
      </c>
      <c r="L299" s="6" t="s">
        <v>403</v>
      </c>
    </row>
    <row r="300" customFormat="false" ht="15" hidden="false" customHeight="false" outlineLevel="0" collapsed="false">
      <c r="A300" s="15" t="s">
        <v>388</v>
      </c>
      <c r="B300" s="16" t="s">
        <v>25</v>
      </c>
      <c r="C300" s="15" t="s">
        <v>389</v>
      </c>
      <c r="D300" s="17" t="n">
        <v>19.5</v>
      </c>
      <c r="E300" s="17" t="n">
        <v>43.33</v>
      </c>
      <c r="F300" s="18" t="n">
        <f aca="false">IFERROR((E300-D300)/E300,"")</f>
        <v>0.549965381952458</v>
      </c>
      <c r="G300" s="17" t="n">
        <v>37.15</v>
      </c>
      <c r="H300" s="17" t="n">
        <v>34.54</v>
      </c>
      <c r="I300" s="17" t="n">
        <v>34.54</v>
      </c>
      <c r="J300" s="17" t="n">
        <v>34.54</v>
      </c>
      <c r="K300" s="15" t="s">
        <v>402</v>
      </c>
      <c r="L300" s="15" t="s">
        <v>403</v>
      </c>
    </row>
    <row r="301" customFormat="false" ht="15" hidden="false" customHeight="false" outlineLevel="0" collapsed="false">
      <c r="A301" s="6" t="s">
        <v>390</v>
      </c>
      <c r="B301" s="7" t="s">
        <v>27</v>
      </c>
      <c r="C301" s="6" t="s">
        <v>391</v>
      </c>
      <c r="D301" s="8" t="n">
        <v>18.5</v>
      </c>
      <c r="E301" s="8" t="n">
        <v>39.69</v>
      </c>
      <c r="F301" s="9" t="n">
        <f aca="false">IFERROR((E301-D301)/E301,"")</f>
        <v>0.533887629125724</v>
      </c>
      <c r="G301" s="8" t="n">
        <v>23.61</v>
      </c>
      <c r="H301" s="8" t="n">
        <v>23.14</v>
      </c>
      <c r="I301" s="8" t="n">
        <v>26.07</v>
      </c>
      <c r="J301" s="8" t="n">
        <v>26.07</v>
      </c>
      <c r="K301" s="6" t="s">
        <v>402</v>
      </c>
      <c r="L301" s="6" t="s">
        <v>403</v>
      </c>
    </row>
    <row r="302" customFormat="false" ht="15" hidden="false" customHeight="false" outlineLevel="0" collapsed="false">
      <c r="A302" s="15" t="s">
        <v>390</v>
      </c>
      <c r="B302" s="16" t="s">
        <v>23</v>
      </c>
      <c r="C302" s="15" t="s">
        <v>391</v>
      </c>
      <c r="D302" s="17" t="n">
        <v>19</v>
      </c>
      <c r="E302" s="17" t="n">
        <v>47.63</v>
      </c>
      <c r="F302" s="18" t="n">
        <f aca="false">IFERROR((E302-D302)/E302,"")</f>
        <v>0.601091748897754</v>
      </c>
      <c r="G302" s="17" t="n">
        <v>38.09</v>
      </c>
      <c r="H302" s="17" t="n">
        <v>28.62</v>
      </c>
      <c r="I302" s="17" t="n">
        <v>28.62</v>
      </c>
      <c r="J302" s="17" t="n">
        <v>28.62</v>
      </c>
      <c r="K302" s="15" t="s">
        <v>402</v>
      </c>
      <c r="L302" s="15" t="s">
        <v>403</v>
      </c>
    </row>
    <row r="303" customFormat="false" ht="15" hidden="false" customHeight="false" outlineLevel="0" collapsed="false">
      <c r="A303" s="6" t="s">
        <v>390</v>
      </c>
      <c r="B303" s="7" t="s">
        <v>25</v>
      </c>
      <c r="C303" s="6" t="s">
        <v>391</v>
      </c>
      <c r="D303" s="8" t="n">
        <v>19.5</v>
      </c>
      <c r="E303" s="8" t="n">
        <v>43.33</v>
      </c>
      <c r="F303" s="9" t="n">
        <f aca="false">IFERROR((E303-D303)/E303,"")</f>
        <v>0.549965381952458</v>
      </c>
      <c r="G303" s="8" t="n">
        <v>45.37</v>
      </c>
      <c r="H303" s="8" t="n">
        <v>30.35</v>
      </c>
      <c r="I303" s="8" t="n">
        <v>30.35</v>
      </c>
      <c r="J303" s="8" t="n">
        <v>30.35</v>
      </c>
      <c r="K303" s="6" t="s">
        <v>402</v>
      </c>
      <c r="L303" s="6" t="s">
        <v>403</v>
      </c>
    </row>
  </sheetData>
  <autoFilter ref="A4:L303"/>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2026-08-23T23:20:44Z</dcterms:created>
  <dc:creator>openpyxl</dc:creator>
  <dc:description/>
  <dc:language>en-US</dc:language>
  <cp:lastModifiedBy/>
  <dcterms:modified xsi:type="dcterms:W3CDTF">2026-08-23T23:20:44Z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